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GRESOS" sheetId="1" r:id="rId1"/>
    <sheet name="COSTOS" sheetId="2" r:id="rId2"/>
    <sheet name="COSTO DE PRODUCCION UNITARIO" sheetId="3" r:id="rId3"/>
    <sheet name="PLANILLA" sheetId="4" r:id="rId4"/>
    <sheet name="GASTOS_ADM_VTAS_FINANZAS" sheetId="5" r:id="rId5"/>
    <sheet name="DEPRECIACIONES AMORTIZACION" sheetId="6" r:id="rId6"/>
    <sheet name="PLAN DE INVERSION" sheetId="7" r:id="rId7"/>
    <sheet name="BALANCE DE APERTURA" sheetId="8" r:id="rId8"/>
    <sheet name="COSTO DE VENTA" sheetId="9" r:id="rId9"/>
    <sheet name="ESTADO DE RESULTADOS" sheetId="10" r:id="rId10"/>
    <sheet name="PRESUPUESTO CAJA" sheetId="11" r:id="rId11"/>
    <sheet name="BALANCE GENERAL PROYECTADO" sheetId="12" r:id="rId12"/>
    <sheet name="RAZONES FINANCIERAS" sheetId="13" r:id="rId13"/>
    <sheet name="COMENTARIOS DE LAS RAZONES" sheetId="14" r:id="rId14"/>
    <sheet name="PUNTO DE EQUILIBRIO" sheetId="15" r:id="rId15"/>
    <sheet name="FLUJO DE EFECTIVO" sheetId="16" r:id="rId16"/>
    <sheet name="COSTO CAPITAL VAN TIR IR" sheetId="17" r:id="rId17"/>
    <sheet name="Sensibilidad Ingresos Bajos" sheetId="18" r:id="rId18"/>
    <sheet name="Sensibilidad Incremento Gastos" sheetId="19" r:id="rId19"/>
    <sheet name="Sensibilidad Incremento Interes" sheetId="20" r:id="rId20"/>
    <sheet name="Riesgo no recuperacion CxC" sheetId="21" r:id="rId21"/>
    <sheet name="Riesgo Administrativo" sheetId="22" r:id="rId22"/>
    <sheet name="Flujo Optimista" sheetId="23" r:id="rId23"/>
    <sheet name="Analisis Precio" sheetId="24" r:id="rId24"/>
    <sheet name="Presupuesto Caja Bajando Precio" sheetId="25" r:id="rId25"/>
    <sheet name="Flujo Efectivo Bajando Precio" sheetId="26" r:id="rId26"/>
  </sheets>
  <calcPr calcId="124519" fullCalcOnLoad="1"/>
</workbook>
</file>

<file path=xl/sharedStrings.xml><?xml version="1.0" encoding="utf-8"?>
<sst xmlns="http://schemas.openxmlformats.org/spreadsheetml/2006/main" count="2564" uniqueCount="737">
  <si>
    <t>Servicio de Implementacion MuseIQ - Soporte, IA y Analitica</t>
  </si>
  <si>
    <t>PROYECCION DE INGRESOS</t>
  </si>
  <si>
    <t>PROYECCION DE INGRESOS - IMPLEMENTACION MUSEIQ</t>
  </si>
  <si>
    <t>Concepto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</si>
  <si>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</si>
  <si>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</si>
  <si>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</si>
  <si>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</si>
  <si>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</si>
  <si>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</si>
  <si>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</si>
  <si>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</si>
  <si>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</si>
  <si>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</si>
  <si>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Museos nuevos - Basico</t>
  </si>
  <si>
    <t>Museos nuevos - Estandar</t>
  </si>
  <si>
    <t>Museos nuevos - Avanzado</t>
  </si>
  <si>
    <t>Total museos implementados por año</t>
  </si>
  <si>
    <t>Ventas implementacion MuseIQ</t>
  </si>
  <si>
    <t>Servicios adicionales de despliegue</t>
  </si>
  <si>
    <t>INGRESOS - SOPORTE, IA Y ANALITICA</t>
  </si>
  <si>
    <t>Museos activos al cierre</t>
  </si>
  <si>
    <t>Museos equivalentes recurrentes - Basico</t>
  </si>
  <si>
    <t>Museos equivalentes recurrentes - Estandar</t>
  </si>
  <si>
    <t>Museos equivalentes recurrentes - Avanzado</t>
  </si>
  <si>
    <t>Ventas soporte, IA y analitica</t>
  </si>
  <si>
    <t>VENTAS TOTALES</t>
  </si>
  <si>
    <t>DETERMINACION DE INGRESOS DE EFECTIVO</t>
  </si>
  <si>
    <t>Ventas al contado 40%</t>
  </si>
  <si>
    <t>Ventas al credito 60%</t>
  </si>
  <si>
    <t>Recuperacion de cuentas por cobrar del año</t>
  </si>
  <si>
    <t>Recuperacion de cuentas por cobrar año anterior</t>
  </si>
  <si>
    <t>TOTAL INGRESOS DE EFECTIVO</t>
  </si>
  <si>
    <t>Saldo de cuentas por cobrar al final del año</t>
  </si>
  <si>
    <t>INFLACION PROYECTADA Y PRECIOS BASE</t>
  </si>
  <si>
    <t>Inflacion anual proyectada</t>
  </si>
  <si>
    <t>Factor acumulado aplicado a precios</t>
  </si>
  <si>
    <t>Paquete</t>
  </si>
  <si>
    <t>Precio base cap. 5</t>
  </si>
  <si>
    <t>Factor economico</t>
  </si>
  <si>
    <t>Precio economico año 1</t>
  </si>
  <si>
    <t>Recurrente base cap. 5</t>
  </si>
  <si>
    <t>Recurrente economico año 1</t>
  </si>
  <si>
    <t>Cobertura</t>
  </si>
  <si>
    <t>BLE estimados</t>
  </si>
  <si>
    <t>Basico</t>
  </si>
  <si>
    <t>3 a 5 salas</t>
  </si>
  <si>
    <t>8 a 12</t>
  </si>
  <si>
    <t>Estandar</t>
  </si>
  <si>
    <t>6 a 10 salas</t>
  </si>
  <si>
    <t>18 a 25</t>
  </si>
  <si>
    <t>Avanzado</t>
  </si>
  <si>
    <t>12 a 18 salas</t>
  </si>
  <si>
    <t>35 a 45</t>
  </si>
  <si>
    <t>Nota: el precio economico aplica un factor comercial de 20% sobre los valores del capitulo 5 para cubrir formalizacion, garantia, gestion contractual y contingencia operativa.</t>
  </si>
  <si>
    <t>DETALLE DE PRECIOS Y VENTAS DE IMPLEMENTACION</t>
  </si>
  <si>
    <t>Precio implementacion - Basico</t>
  </si>
  <si>
    <t>Precio implementacion - Estandar</t>
  </si>
  <si>
    <t>Precio implementacion - Avanzado</t>
  </si>
  <si>
    <t>Venta implementacion - Basico</t>
  </si>
  <si>
    <t>Venta implementacion - Estandar</t>
  </si>
  <si>
    <t>Venta implementacion - Avanzado</t>
  </si>
  <si>
    <t>TOTAL VENTAS IMPLEMENTACION DETALLADAS</t>
  </si>
  <si>
    <t>DETALLE DE PRECIOS Y VENTAS RECURRENTES</t>
  </si>
  <si>
    <t>Precio recurrente - Basico</t>
  </si>
  <si>
    <t>Precio recurrente - Estandar</t>
  </si>
  <si>
    <t>Precio recurrente - Avanzado</t>
  </si>
  <si>
    <t>Venta soporte, IA y analitica - Basico</t>
  </si>
  <si>
    <t>Venta soporte, IA y analitica - Estandar</t>
  </si>
  <si>
    <t>Venta soporte, IA y analitica - Avanzado</t>
  </si>
  <si>
    <t>TOTAL VENTAS RECURRENTES DETALLADAS</t>
  </si>
  <si>
    <t>VALORES PROMEDIO Y POLITICA DE COBRANZA</t>
  </si>
  <si>
    <t>Valor promedio por museo implementado</t>
  </si>
  <si>
    <t>Valor promedio por museo recurrente equivalente</t>
  </si>
  <si>
    <t>Politica de cobranza</t>
  </si>
  <si>
    <t>Valor</t>
  </si>
  <si>
    <t>Contado</t>
  </si>
  <si>
    <t>Credito</t>
  </si>
  <si>
    <t>Recuperacion del credito en el año</t>
  </si>
  <si>
    <t>Saldo de credito al cierre</t>
  </si>
  <si>
    <t>Politica de servicios adicionales</t>
  </si>
  <si>
    <t>Servicios adicionales sobre implementacion</t>
  </si>
  <si>
    <t>Politica de activacion recurrente</t>
  </si>
  <si>
    <t>Fraccion del primer año reconocida como servicio recurrente</t>
  </si>
  <si>
    <t>Cuadro de costos de insumos directos anuales</t>
  </si>
  <si>
    <t>COSTOS DIRECTOS ANUALES DE IMPLEMENTACION</t>
  </si>
  <si>
    <t>Beacons BLE basados en ESP32</t>
  </si>
  <si>
    <t>Baterias CR2032 para beacons</t>
  </si>
  <si>
    <t>Soportes y adhesivos para beacons</t>
  </si>
  <si>
    <t>Nodo de borde Raspberry Pi 5</t>
  </si>
  <si>
    <t>Fuente oficial para nodo de borde</t>
  </si>
  <si>
    <t>Carcasa para nodo de borde</t>
  </si>
  <si>
    <t>Almacenamiento microSD</t>
  </si>
  <si>
    <t>Kit de cableado y conectividad</t>
  </si>
  <si>
    <t>Señaletica QR y rotulado de zonas</t>
  </si>
  <si>
    <t>Diagnostico y levantamiento museografico</t>
  </si>
  <si>
    <t>Diseño de cobertura y mapa BLE</t>
  </si>
  <si>
    <t>Instalacion fisica de beacons y señalizacion</t>
  </si>
  <si>
    <t>Configuracion de app, backend y panel</t>
  </si>
  <si>
    <t>Estructuracion de corpus curatorial</t>
  </si>
  <si>
    <t>Pruebas funcionales y de aceptacion</t>
  </si>
  <si>
    <t>Capacitacion inicial al personal</t>
  </si>
  <si>
    <t>Documentacion y manuales operativos</t>
  </si>
  <si>
    <t>Viajes y logistica de despliegue</t>
  </si>
  <si>
    <t>Gestion del proyecto</t>
  </si>
  <si>
    <t>Reserva de garantia y postimplementacion</t>
  </si>
  <si>
    <t>Gestion contractual y documentaria</t>
  </si>
  <si>
    <t>Contingencia tecnica de implementacion</t>
  </si>
  <si>
    <t>TOTAL COSTOS DE IMPLEMENTACION</t>
  </si>
  <si>
    <t>COSTOS DIRECTOS ANUALES DE OPERACION RECURRENTE</t>
  </si>
  <si>
    <t>Hosting y almacenamiento cloud</t>
  </si>
  <si>
    <t>Consumo STT y TTS</t>
  </si>
  <si>
    <t>Consumo LLM, embeddings y RAG</t>
  </si>
  <si>
    <t>Monitoreo, respaldos y repositorios</t>
  </si>
  <si>
    <t>Reposicion de baterias y accesorios</t>
  </si>
  <si>
    <t>Soporte tecnico remoto</t>
  </si>
  <si>
    <t>Visitas preventivas y logistica</t>
  </si>
  <si>
    <t>Actualizacion de contenidos</t>
  </si>
  <si>
    <t>Reserva de incidentes y SLA</t>
  </si>
  <si>
    <t>Contingencia de sobreconsumo</t>
  </si>
  <si>
    <t>TOTAL COSTOS RECURRENTES</t>
  </si>
  <si>
    <t>COSTOS DIRECTOS DE SERVICIOS ADICIONALES</t>
  </si>
  <si>
    <t>Produccion y adecuacion curatorial adicional</t>
  </si>
  <si>
    <t>Traduccion, accesibilidad y nuevas narrativas</t>
  </si>
  <si>
    <t>Capacitacion adicional</t>
  </si>
  <si>
    <t>Despliegue, materiales y logistica adicional</t>
  </si>
  <si>
    <t>TOTAL COSTOS DE SERVICIOS ADICIONALES</t>
  </si>
  <si>
    <t>TOTAL COSTO DIRECTO ANUAL</t>
  </si>
  <si>
    <t>CUADRO DE PRODUCCION - UNIDADES DE SERVICIO</t>
  </si>
  <si>
    <t>Museos implementados</t>
  </si>
  <si>
    <t>Museos equivalentes recurrentes</t>
  </si>
  <si>
    <t>PRESUPUESTO DE COMPRA Y PAGO A PROVEEDORES</t>
  </si>
  <si>
    <t>Compra de contado 30%</t>
  </si>
  <si>
    <t>Compra a proveedores al credito 70%</t>
  </si>
  <si>
    <t>Pago del credito en el año 85%</t>
  </si>
  <si>
    <t>Pago a proveedores del año anterior</t>
  </si>
  <si>
    <t>TOTAL PAGO A PROVEEDORES</t>
  </si>
  <si>
    <t>Saldo de cuentas por pagar</t>
  </si>
  <si>
    <t>COSTOS INDIRECTOS ANUALES DE PRODUCCION</t>
  </si>
  <si>
    <t>Energia electrica y ambiente de pruebas</t>
  </si>
  <si>
    <t>Internet y comunicaciones de produccion</t>
  </si>
  <si>
    <t>Herramientas cloud, repositorios y monitoreo</t>
  </si>
  <si>
    <t>Papeleria, insumos de oficina y pruebas</t>
  </si>
  <si>
    <t>Mantenimiento menor de equipos</t>
  </si>
  <si>
    <t>Depreciacion asignada a produccion</t>
  </si>
  <si>
    <t>TOTAL COSTO INDIRECTO DE PRODUCCION</t>
  </si>
  <si>
    <t>CEDULA DE COSTOS UNITARIOS DE IMPLEMENTACION POR PAQUETE</t>
  </si>
  <si>
    <t>Unidad</t>
  </si>
  <si>
    <t>Cant. Basico</t>
  </si>
  <si>
    <t>Tarifa Basico</t>
  </si>
  <si>
    <t>Costo Basico</t>
  </si>
  <si>
    <t>Cant. Estandar</t>
  </si>
  <si>
    <t>Tarifa Estandar</t>
  </si>
  <si>
    <t>Costo Estandar</t>
  </si>
  <si>
    <t>Cant. Avanzado</t>
  </si>
  <si>
    <t>Tarifa Avanzado</t>
  </si>
  <si>
    <t>Costo Avanzado</t>
  </si>
  <si>
    <t>Base / fuente</t>
  </si>
  <si>
    <t>unidad</t>
  </si>
  <si>
    <t>Cap. 5: BLE estimados y piloto S/30 por unidad</t>
  </si>
  <si>
    <t>Cap. 5: bateria por beacon</t>
  </si>
  <si>
    <t>Cap. 5: fijacion por beacon</t>
  </si>
  <si>
    <t>Cap. 5: nodo local referencial S/600</t>
  </si>
  <si>
    <t>Cap. 5: fuente 27W</t>
  </si>
  <si>
    <t>Cap. 5: carcasa protectora</t>
  </si>
  <si>
    <t>Cap. 5: microSD</t>
  </si>
  <si>
    <t>kit</t>
  </si>
  <si>
    <t>Cableado, conectores y reserva comercial</t>
  </si>
  <si>
    <t>Cap. 5: señalizacion por sala o zona</t>
  </si>
  <si>
    <t>hora</t>
  </si>
  <si>
    <t>Diagnostico de salas, recorridos y necesidades</t>
  </si>
  <si>
    <t>Diseño de zonas, ubicacion y reglas de activacion</t>
  </si>
  <si>
    <t>Montaje en sitio</t>
  </si>
  <si>
    <t>Configuracion PWA/app, backend y analitica</t>
  </si>
  <si>
    <t>Limpieza, etiquetado y preparacion para RAG</t>
  </si>
  <si>
    <t>Pruebas BLE, voz, contenidos y experiencia</t>
  </si>
  <si>
    <t>Formacion operativa y curatorial</t>
  </si>
  <si>
    <t>Manuales, protocolo y entregables</t>
  </si>
  <si>
    <t>proyecto</t>
  </si>
  <si>
    <t>Traslado, viaticos y materiales de campo</t>
  </si>
  <si>
    <t>Coordinacion tecnica e institucional</t>
  </si>
  <si>
    <t>Atencion inicial y garantia</t>
  </si>
  <si>
    <t>Expediente, conformidad y cierre</t>
  </si>
  <si>
    <t>Reserva por ajustes de campo</t>
  </si>
  <si>
    <t>TOTAL COSTO UNITARIO DE IMPLEMENTACION</t>
  </si>
  <si>
    <t>CEDULA DE COSTOS UNITARIOS RECURRENTES POR PAQUETE</t>
  </si>
  <si>
    <t>año</t>
  </si>
  <si>
    <t>Infraestructura anual</t>
  </si>
  <si>
    <t>Voz segun alcance del paquete</t>
  </si>
  <si>
    <t>Consultas y recuperacion aumentada</t>
  </si>
  <si>
    <t>Continuidad y trazabilidad</t>
  </si>
  <si>
    <t>Reposicion preventiva</t>
  </si>
  <si>
    <t>Bolsa anual de soporte</t>
  </si>
  <si>
    <t>Revision y calibracion en sitio</t>
  </si>
  <si>
    <t>Ajustes curatoriales menores</t>
  </si>
  <si>
    <t>Atencion de incidentes</t>
  </si>
  <si>
    <t>Voz, IA y almacenamiento</t>
  </si>
  <si>
    <t>TOTAL COSTO UNITARIO RECURRENTE</t>
  </si>
  <si>
    <t>COMPOSICION DEL COSTO DE SERVICIOS ADICIONALES</t>
  </si>
  <si>
    <t>Participacion</t>
  </si>
  <si>
    <t>Base</t>
  </si>
  <si>
    <t>POLITICA DE COMPRA DE INSUMOS Y SERVICIOS DIRECTOS</t>
  </si>
  <si>
    <t>Compra de contado</t>
  </si>
  <si>
    <t>Compra al credito</t>
  </si>
  <si>
    <t>Pago del credito en el año</t>
  </si>
  <si>
    <t>DETALLE DE ENERGIA Y COMUNICACIONES DE PRODUCCION</t>
  </si>
  <si>
    <t>Equipo / recurso</t>
  </si>
  <si>
    <t>KW o base</t>
  </si>
  <si>
    <t>Horas/dia</t>
  </si>
  <si>
    <t>Dias/año</t>
  </si>
  <si>
    <t>Tarifa</t>
  </si>
  <si>
    <t>Gasto anual</t>
  </si>
  <si>
    <t>% produccion</t>
  </si>
  <si>
    <t>Asignado produccion</t>
  </si>
  <si>
    <t>Tipo</t>
  </si>
  <si>
    <t>Laptops de desarrollo y pruebas</t>
  </si>
  <si>
    <t>Energia</t>
  </si>
  <si>
    <t>Servidor/NAS para RAG y datos</t>
  </si>
  <si>
    <t>Smartphones y tablets de prueba</t>
  </si>
  <si>
    <t>Red WiFi, router y UPS</t>
  </si>
  <si>
    <t>Iluminacion y ambiente de pruebas</t>
  </si>
  <si>
    <t>Internet y comunicaciones anual</t>
  </si>
  <si>
    <t>Comunicaciones</t>
  </si>
  <si>
    <t>TOTAL ENERGIA ELECTRICA</t>
  </si>
  <si>
    <t>TOTAL INTERNET Y COMUNICACIONES</t>
  </si>
  <si>
    <t>PARAMETROS DE OTROS COSTOS INDIRECTOS</t>
  </si>
  <si>
    <t>Base anual</t>
  </si>
  <si>
    <t>Año de inicio</t>
  </si>
  <si>
    <t>Crecimiento</t>
  </si>
  <si>
    <t>Fuente</t>
  </si>
  <si>
    <t>Politica anual comun de gastos</t>
  </si>
  <si>
    <t>Costo Total de Operacion - MuseIQ</t>
  </si>
  <si>
    <t>Insumos y servicios directos</t>
  </si>
  <si>
    <t>Mano de obra directa</t>
  </si>
  <si>
    <t>Costos indirectos de servicio</t>
  </si>
  <si>
    <t>TOTAL COSTO DE PRODUCCION</t>
  </si>
  <si>
    <t>Costo unitario por museo equivalente</t>
  </si>
  <si>
    <t>CUADRO DE PRODUCCION - UNIDADES EQUIVALENTES</t>
  </si>
  <si>
    <t>Museos implementados en el año</t>
  </si>
  <si>
    <t>Museos recurrentes equivalentes</t>
  </si>
  <si>
    <t>TOTAL MUSEOS EQUIVALENTES</t>
  </si>
  <si>
    <t>COMPOSICION DEL COSTO DE PRODUCCION</t>
  </si>
  <si>
    <t>TOTAL COSTO DE PRODUCCION DETALLADO</t>
  </si>
  <si>
    <t>Costo unitario total por museo equivalente</t>
  </si>
  <si>
    <t>% insumos directos sobre costo</t>
  </si>
  <si>
    <t>% mano de obra directa sobre costo</t>
  </si>
  <si>
    <t>% costos indirectos sobre costo</t>
  </si>
  <si>
    <t>COSTOS UNITARIOS DIRECTOS POR PAQUETE</t>
  </si>
  <si>
    <t>Costo directo implementacion - Basico</t>
  </si>
  <si>
    <t>Costo directo implementacion - Estandar</t>
  </si>
  <si>
    <t>Costo directo implementacion - Avanzado</t>
  </si>
  <si>
    <t>Costo directo recurrente - Basico</t>
  </si>
  <si>
    <t>Costo directo recurrente - Estandar</t>
  </si>
  <si>
    <t>Costo directo recurrente - Avanzado</t>
  </si>
  <si>
    <t>COSTOS UNITARIOS PROMEDIO POR NATURALEZA</t>
  </si>
  <si>
    <t>Costo directo por museo implementado</t>
  </si>
  <si>
    <t>Costo directo por museo recurrente equivalente</t>
  </si>
  <si>
    <t>Mano de obra directa por museo equivalente</t>
  </si>
  <si>
    <t>Costo indirecto por museo equivalente</t>
  </si>
  <si>
    <t>El costo unitario se expresa por museo equivalente: museos implementados en el año mas museos recurrentes ponderados. Las filas inferiores separan insumos, mano de obra e indirectos para explicar la variacion anual.</t>
  </si>
  <si>
    <t>Prestacion de servicios por año - Planilla MuseIQ</t>
  </si>
  <si>
    <t>RESUMEN ANUAL DE PLANILLA</t>
  </si>
  <si>
    <t>Planilla de administracion</t>
  </si>
  <si>
    <t>Planilla de produccion MuseIQ</t>
  </si>
  <si>
    <t>Planilla de ventas</t>
  </si>
  <si>
    <t>TOTAL PLANILLA</t>
  </si>
  <si>
    <t>Mano de obra directa de produccion</t>
  </si>
  <si>
    <t>Mano de obra indirecta de produccion</t>
  </si>
  <si>
    <t>PARAMETROS DE CALCULO LABORAL</t>
  </si>
  <si>
    <t>Tasa / base</t>
  </si>
  <si>
    <t>Aplicacion</t>
  </si>
  <si>
    <t>Incremento salarial anual</t>
  </si>
  <si>
    <t>Sobre sueldo mensual del año anterior</t>
  </si>
  <si>
    <t>Gratificaciones</t>
  </si>
  <si>
    <t>Dos remuneraciones mensuales por año</t>
  </si>
  <si>
    <t>EsSalud</t>
  </si>
  <si>
    <t>Sobre sueldo anual</t>
  </si>
  <si>
    <t>CTS</t>
  </si>
  <si>
    <t>Sobre sueldo anual mas gratificaciones</t>
  </si>
  <si>
    <t>Vacaciones</t>
  </si>
  <si>
    <t>Media remuneracion mensual provisionada</t>
  </si>
  <si>
    <t>Cesantia</t>
  </si>
  <si>
    <t>Proporcion de una remuneracion anual</t>
  </si>
  <si>
    <t>PRESTACION DE SERVICIOS POR AÑO 1</t>
  </si>
  <si>
    <t>CARGO</t>
  </si>
  <si>
    <t>SUELDO MENSUAL</t>
  </si>
  <si>
    <t>SUELDO ANUAL</t>
  </si>
  <si>
    <t>GRATIFICACION JULIO DICIEMBRE</t>
  </si>
  <si>
    <t>ESSALUD (9%)</t>
  </si>
  <si>
    <t>CTS (8.33%)</t>
  </si>
  <si>
    <t>VACACIONES</t>
  </si>
  <si>
    <t>PREAVISO</t>
  </si>
  <si>
    <t>CESANTIA</t>
  </si>
  <si>
    <t>TOTAL C. SOCIAL</t>
  </si>
  <si>
    <t>TOTAL</t>
  </si>
  <si>
    <t>Administracion</t>
  </si>
  <si>
    <t>Gerente general - financiero</t>
  </si>
  <si>
    <t>Asistente contable administrativo</t>
  </si>
  <si>
    <t>TOTAL PLANILLA ADMINISTRACION</t>
  </si>
  <si>
    <t>Produccion MuseIQ</t>
  </si>
  <si>
    <t>Lider backend, RAG y plataforma</t>
  </si>
  <si>
    <t>Especialista curatorial y datos</t>
  </si>
  <si>
    <t>TOTAL PLANILLA PRODUCCION MUSEIQ</t>
  </si>
  <si>
    <t>Ventas</t>
  </si>
  <si>
    <t>Ejecutivo comercial institucional</t>
  </si>
  <si>
    <t>TOTAL PLANILLA VENTAS</t>
  </si>
  <si>
    <t>RESUMEN PLANILLA DE PRODUCCION</t>
  </si>
  <si>
    <t>Mano de obra indirecta</t>
  </si>
  <si>
    <t>TOTAL PRODUCCION</t>
  </si>
  <si>
    <t>Politica: incremento salarial anual de 5% y ampliacion gradual del equipo segun la cartera de museos.</t>
  </si>
  <si>
    <t>PRESTACION DE SERVICIOS POR AÑO 2</t>
  </si>
  <si>
    <t>Ingeniero mobile e IoT BLE</t>
  </si>
  <si>
    <t>PRESTACION DE SERVICIOS POR AÑO 3</t>
  </si>
  <si>
    <t>Soporte tecnico y QA</t>
  </si>
  <si>
    <t>PRESTACION DE SERVICIOS POR AÑO 4</t>
  </si>
  <si>
    <t>Gestor de relaciones institucionales</t>
  </si>
  <si>
    <t>PRESTACION DE SERVICIOS POR AÑO 5</t>
  </si>
  <si>
    <t>Coordinador administrativo y contratos</t>
  </si>
  <si>
    <t>PRESTACION DE SERVICIOS POR AÑO 6</t>
  </si>
  <si>
    <t>Implementador de campo</t>
  </si>
  <si>
    <t>PRESTACION DE SERVICIOS POR AÑO 7</t>
  </si>
  <si>
    <t>PRESTACION DE SERVICIOS POR AÑO 8</t>
  </si>
  <si>
    <t>Analista de datos y soporte IA</t>
  </si>
  <si>
    <t>Coordinador postventa y alianzas</t>
  </si>
  <si>
    <t>PRESTACION DE SERVICIOS POR AÑO 9</t>
  </si>
  <si>
    <t>PRESTACION DE SERVICIOS POR AÑO 10</t>
  </si>
  <si>
    <t>Gastos de Venta, Administracion y Finanzas</t>
  </si>
  <si>
    <t>GASTOS DE VENTA</t>
  </si>
  <si>
    <t>Sueldo y carga social depto. venta</t>
  </si>
  <si>
    <t>Comisiones a vendedores 2.5% ventas</t>
  </si>
  <si>
    <t>Prospeccion, viajes y representacion</t>
  </si>
  <si>
    <t>TOTAL GASTOS DE VENTA</t>
  </si>
  <si>
    <t>GASTOS DE ADMINISTRACION</t>
  </si>
  <si>
    <t>Sueldo y carga social administracion</t>
  </si>
  <si>
    <t>Servicios contables, legales, oficina y comunicaciones</t>
  </si>
  <si>
    <t>Depreciacion y amortizacion asignada</t>
  </si>
  <si>
    <t>TOTAL GASTOS ADMINISTRATIVOS</t>
  </si>
  <si>
    <t>GASTOS FINANCIEROS - AMORTIZACION DEL PRESTAMO</t>
  </si>
  <si>
    <t>Saldo inicial de deuda</t>
  </si>
  <si>
    <t>Intereses</t>
  </si>
  <si>
    <t>Abono a capital</t>
  </si>
  <si>
    <t>Cuota anual</t>
  </si>
  <si>
    <t>Saldo final de deuda</t>
  </si>
  <si>
    <t>Condicion adoptada: 2 años de gracia de capital y amortizacion en 6 cuotas anuales; tasa base 18% anual.</t>
  </si>
  <si>
    <t>DETALLE DE GASTOS DE VENTA</t>
  </si>
  <si>
    <t>Prospeccion y movilidad comercial</t>
  </si>
  <si>
    <t>Marketing digital y materiales comerciales</t>
  </si>
  <si>
    <t>Viajes y representacion institucional</t>
  </si>
  <si>
    <t>TOTAL OTROS GASTOS DE VENTA</t>
  </si>
  <si>
    <t>DETALLE DE GASTOS DE ADMINISTRACION</t>
  </si>
  <si>
    <t>Servicios contables y tributarios</t>
  </si>
  <si>
    <t>Asesoria legal y gestion contractual</t>
  </si>
  <si>
    <t>Comunicaciones e internet administrativo</t>
  </si>
  <si>
    <t>Papeleria e insumos administrativos</t>
  </si>
  <si>
    <t>Seguros, comisiones bancarias y tramites</t>
  </si>
  <si>
    <t>TOTAL SERVICIOS Y GASTOS ADMINISTRATIVOS</t>
  </si>
  <si>
    <t>Depreciacion asignada a administracion 40%</t>
  </si>
  <si>
    <t>Amortizacion de intangibles y diferidos</t>
  </si>
  <si>
    <t>TOTAL DEPRECIACION Y AMORTIZACION</t>
  </si>
  <si>
    <t>PARAMETROS DEL FINANCIAMIENTO</t>
  </si>
  <si>
    <t>Monto financiado</t>
  </si>
  <si>
    <t>Tasa efectiva anual</t>
  </si>
  <si>
    <t>Periodo de gracia de capital</t>
  </si>
  <si>
    <t>Años de amortizacion</t>
  </si>
  <si>
    <t>Cuota nivelada durante amortizacion</t>
  </si>
  <si>
    <t>Total intereses del financiamiento</t>
  </si>
  <si>
    <t>Total amortizacion de capital</t>
  </si>
  <si>
    <t>Total servicio de deuda</t>
  </si>
  <si>
    <t>PARAMETROS OPERATIVOS</t>
  </si>
  <si>
    <t>Comision sobre ventas</t>
  </si>
  <si>
    <t>Crecimiento anual de gastos</t>
  </si>
  <si>
    <t>Depreciaciones y Amortizacion</t>
  </si>
  <si>
    <t>ACTIVOS TANGIBLES</t>
  </si>
  <si>
    <t>Activo</t>
  </si>
  <si>
    <t>Vida util</t>
  </si>
  <si>
    <t>Laptops y equipos de prueba</t>
  </si>
  <si>
    <t>Servidor/NAS y red local</t>
  </si>
  <si>
    <t>Herramientas de instalacion y medicion</t>
  </si>
  <si>
    <t>Mobiliario y oficina</t>
  </si>
  <si>
    <t>Depreciacion anual</t>
  </si>
  <si>
    <t>Activo fijo neto</t>
  </si>
  <si>
    <t>ACTIVOS INTANGIBLES Y DIFERIDOS</t>
  </si>
  <si>
    <t>Constitucion y formalizacion</t>
  </si>
  <si>
    <t>Desarrollo base app/API/RAG</t>
  </si>
  <si>
    <t>Documentacion y manuales</t>
  </si>
  <si>
    <t>Marca, preventa y dossier comercial</t>
  </si>
  <si>
    <t>Amortizacion anual</t>
  </si>
  <si>
    <t>Activo intangible neto</t>
  </si>
  <si>
    <t>CEDULAS DETALLADAS DE DEPRECIACION POR ACTIVO TANGIBLE</t>
  </si>
  <si>
    <t>EQUIPOS DE DESARROLLO Y PRUEBA</t>
  </si>
  <si>
    <t>Cantidad</t>
  </si>
  <si>
    <t>Costo unitario</t>
  </si>
  <si>
    <t>Costo total</t>
  </si>
  <si>
    <t>% residual</t>
  </si>
  <si>
    <t>Valor residual</t>
  </si>
  <si>
    <t>Base depreciable</t>
  </si>
  <si>
    <t>Depreciacion acumulada</t>
  </si>
  <si>
    <t>Valor en libros año 10</t>
  </si>
  <si>
    <t>Laptop de desarrollo</t>
  </si>
  <si>
    <t>Laptop para pruebas y demostraciones</t>
  </si>
  <si>
    <t>Smartphone Android de prueba</t>
  </si>
  <si>
    <t>Tablet para pruebas de recorrido</t>
  </si>
  <si>
    <t>TOTAL EQUIPOS DE DESARROLLO Y PRUEBA</t>
  </si>
  <si>
    <t>SERVIDOR Y RED LOCAL</t>
  </si>
  <si>
    <t>Servidor NAS para RAG y datos</t>
  </si>
  <si>
    <t>UPS para servidor y comunicaciones</t>
  </si>
  <si>
    <t>Router, switch y puntos de acceso</t>
  </si>
  <si>
    <t>Discos de respaldo</t>
  </si>
  <si>
    <t>TOTAL SERVIDOR Y RED LOCAL</t>
  </si>
  <si>
    <t>HERRAMIENTAS DE INSTALACION Y MEDICION</t>
  </si>
  <si>
    <t>Kit de beacons para pruebas y calibracion</t>
  </si>
  <si>
    <t>Multimetro y medidor de red</t>
  </si>
  <si>
    <t>Kit de herramientas de instalacion</t>
  </si>
  <si>
    <t>Impresora de etiquetas y señalizacion</t>
  </si>
  <si>
    <t>Kit portatil de pruebas de campo</t>
  </si>
  <si>
    <t>TOTAL HERRAMIENTAS DE INSTALACION Y MEDICION</t>
  </si>
  <si>
    <t>MOBILIARIO Y OFICINA</t>
  </si>
  <si>
    <t>Escritorio de trabajo</t>
  </si>
  <si>
    <t>Silla ergonomica de oficina</t>
  </si>
  <si>
    <t>Mesa de reuniones</t>
  </si>
  <si>
    <t>Silla para reuniones</t>
  </si>
  <si>
    <t>Archivador y gabinete de seguridad</t>
  </si>
  <si>
    <t>TOTAL MOBILIARIO Y OFICINA</t>
  </si>
  <si>
    <t>TOTAL ACTIVOS TANGIBLES</t>
  </si>
  <si>
    <t>PROGRAMA ANUAL DE DEPRECIACION</t>
  </si>
  <si>
    <t>Depreciacion - Laptop de desarrollo</t>
  </si>
  <si>
    <t>Depreciacion - Laptop para pruebas y demostraciones</t>
  </si>
  <si>
    <t>Depreciacion - Smartphone Android de prueba</t>
  </si>
  <si>
    <t>Depreciacion - Tablet para pruebas de recorrido</t>
  </si>
  <si>
    <t>Depreciacion - Servidor NAS para RAG y datos</t>
  </si>
  <si>
    <t>Depreciacion - UPS para servidor y comunicaciones</t>
  </si>
  <si>
    <t>Depreciacion - Router, switch y puntos de acceso</t>
  </si>
  <si>
    <t>Depreciacion - Discos de respaldo</t>
  </si>
  <si>
    <t>Depreciacion - Kit de beacons para pruebas y calibracion</t>
  </si>
  <si>
    <t>Depreciacion - Multimetro y medidor de red</t>
  </si>
  <si>
    <t>Depreciacion - Kit de herramientas de instalacion</t>
  </si>
  <si>
    <t>Depreciacion - Impresora de etiquetas y señalizacion</t>
  </si>
  <si>
    <t>Depreciacion - Kit portatil de pruebas de campo</t>
  </si>
  <si>
    <t>Depreciacion - Escritorio de trabajo</t>
  </si>
  <si>
    <t>Depreciacion - Silla ergonomica de oficina</t>
  </si>
  <si>
    <t>Depreciacion - Mesa de reuniones</t>
  </si>
  <si>
    <t>Depreciacion - Silla para reuniones</t>
  </si>
  <si>
    <t>Depreciacion - Archivador y gabinete de seguridad</t>
  </si>
  <si>
    <t>TOTAL DEPRECIACION ANUAL</t>
  </si>
  <si>
    <t>CEDULA DE AMORTIZACION POR ACTIVO INTANGIBLE</t>
  </si>
  <si>
    <t>Base amortizable</t>
  </si>
  <si>
    <t>Amortizacion acumulada</t>
  </si>
  <si>
    <t>TOTAL ACTIVOS INTANGIBLES</t>
  </si>
  <si>
    <t>PROGRAMA ANUAL DE AMORTIZACION</t>
  </si>
  <si>
    <t>Amortizacion - Constitucion y formalizacion</t>
  </si>
  <si>
    <t>Amortizacion - Desarrollo base app/API/RAG</t>
  </si>
  <si>
    <t>Amortizacion - Documentacion y manuales</t>
  </si>
  <si>
    <t>Amortizacion - Marca, preventa y dossier comercial</t>
  </si>
  <si>
    <t>TOTAL AMORTIZACION ANUAL</t>
  </si>
  <si>
    <t>ASIGNACION CONTABLE Y VALOR TERMINAL</t>
  </si>
  <si>
    <t>Depreciacion asignada a produccion 60%</t>
  </si>
  <si>
    <t>Amortizacion asignada a administracion 100%</t>
  </si>
  <si>
    <t>Valor de salvamento comercial considerado en el flujo final</t>
  </si>
  <si>
    <t>Estimacion comercial separada del valor contable neto.</t>
  </si>
  <si>
    <t>POLITICA DE ASIGNACION DE DEPRECIACION</t>
  </si>
  <si>
    <t>Asignacion a produccion</t>
  </si>
  <si>
    <t>Asignacion a administracion</t>
  </si>
  <si>
    <t>Plan de Inversion - MuseIQ</t>
  </si>
  <si>
    <t>ACTIVOS</t>
  </si>
  <si>
    <t>MONTO</t>
  </si>
  <si>
    <t>FONDOS PROPIOS</t>
  </si>
  <si>
    <t>FINANCIAMIENTO</t>
  </si>
  <si>
    <t>I. ACTIVOS FIJOS</t>
  </si>
  <si>
    <t>II. CAPITAL DE TRABAJO</t>
  </si>
  <si>
    <t>Costos de produccion</t>
  </si>
  <si>
    <t>Sueldos y carga social de administracion y ventas</t>
  </si>
  <si>
    <t>Gastos de venta desembolsables</t>
  </si>
  <si>
    <t>Gastos de administracion desembolsables</t>
  </si>
  <si>
    <t>Menos anticipo contractual de ventas 5%</t>
  </si>
  <si>
    <t>Menos compras financiadas por proveedores</t>
  </si>
  <si>
    <t>Ajuste de reserva minima de caja</t>
  </si>
  <si>
    <t>III. ACTIVOS NOMINALES</t>
  </si>
  <si>
    <t>CALCULO DIAS CAPITAL DE TRABAJO</t>
  </si>
  <si>
    <t>Tiempo de diagnostico y produccion inicial</t>
  </si>
  <si>
    <t>Tiempo de contratacion de insumos</t>
  </si>
  <si>
    <t>Tiempo promedio de cobro</t>
  </si>
  <si>
    <t>Tiempo de entrega y conformidad</t>
  </si>
  <si>
    <t>Dias de seguridad</t>
  </si>
  <si>
    <t>TOTAL DIAS</t>
  </si>
  <si>
    <t>ACTIVOS NOMINALES</t>
  </si>
  <si>
    <t>TOTAL ACTIVOS NOMINALES</t>
  </si>
  <si>
    <t>El capital de trabajo considera el ciclo de diagnostico, contratacion, entrega, conformidad y cobro institucional. El ajuste final mantiene la caja inicial aprobada en S/50,000.</t>
  </si>
  <si>
    <t>POLITICA DE FINANCIAMIENTO Y CAPITAL DE TRABAJO</t>
  </si>
  <si>
    <t>Fondos propios en activos fijos</t>
  </si>
  <si>
    <t>Fondos propios en capital de trabajo</t>
  </si>
  <si>
    <t>Anticipo contractual sobre ventas</t>
  </si>
  <si>
    <t>Reserva minima de caja</t>
  </si>
  <si>
    <t>Participacion total objetivo de fondos propios</t>
  </si>
  <si>
    <t>Fondos propios en activos nominales</t>
  </si>
  <si>
    <t>MuseIQ - Plataforma Inteligente para Experiencias Museales</t>
  </si>
  <si>
    <t>BALANCE DE APERTURA</t>
  </si>
  <si>
    <t>PASIVOS Y PATRIMONIO</t>
  </si>
  <si>
    <t>Circulante:</t>
  </si>
  <si>
    <t>Pasivo:</t>
  </si>
  <si>
    <t>Caja y bancos</t>
  </si>
  <si>
    <t>Inventario</t>
  </si>
  <si>
    <t>Total circulante</t>
  </si>
  <si>
    <t>Deuda de corto plazo</t>
  </si>
  <si>
    <t>Deuda de largo plazo</t>
  </si>
  <si>
    <t>Total pasivo</t>
  </si>
  <si>
    <t>Fijo:</t>
  </si>
  <si>
    <t>Patrimonio:</t>
  </si>
  <si>
    <t>Total fijo</t>
  </si>
  <si>
    <t>Capital social aportado</t>
  </si>
  <si>
    <t>Diferido:</t>
  </si>
  <si>
    <t>Total diferido</t>
  </si>
  <si>
    <t>Total patrimonio</t>
  </si>
  <si>
    <t>TOTAL DE ACTIVOS</t>
  </si>
  <si>
    <t>TOTAL PASIVO Y PATRIMONIO</t>
  </si>
  <si>
    <t>Diferencia de cuadre</t>
  </si>
  <si>
    <t>Firma representante legal</t>
  </si>
  <si>
    <t>Firma responsable contable</t>
  </si>
  <si>
    <t>Costo de lo Vendido</t>
  </si>
  <si>
    <t>Inventario inicial</t>
  </si>
  <si>
    <t>+</t>
  </si>
  <si>
    <t>Costo de produccion</t>
  </si>
  <si>
    <t>=</t>
  </si>
  <si>
    <t>Producto disponible para la venta</t>
  </si>
  <si>
    <t>-</t>
  </si>
  <si>
    <t>Inventario final</t>
  </si>
  <si>
    <t>Costo de venta</t>
  </si>
  <si>
    <t>COMPOSICION DEL COSTO DE PRODUCCION TRANSFERIDO</t>
  </si>
  <si>
    <t>TOTAL COSTO TRANSFERIDO</t>
  </si>
  <si>
    <t>Diferencia contra costo de venta</t>
  </si>
  <si>
    <t>Politica de inventarios</t>
  </si>
  <si>
    <t>MuseIQ presta un servicio por proyecto y no mantiene productos terminados. Por ello, el inventario final es cero y el costo de produccion se reconoce como costo de venta en el mismo año.</t>
  </si>
  <si>
    <t>Estado de Resultados</t>
  </si>
  <si>
    <t>Descripcion</t>
  </si>
  <si>
    <t>Ventas totales</t>
  </si>
  <si>
    <t>Utilidad bruta en ventas</t>
  </si>
  <si>
    <t>Total gastos de operacion</t>
  </si>
  <si>
    <t>Gastos de venta</t>
  </si>
  <si>
    <t>Gastos de administracion</t>
  </si>
  <si>
    <t>Utilidad de operacion</t>
  </si>
  <si>
    <t>Gastos financieros</t>
  </si>
  <si>
    <t>Otros ingresos</t>
  </si>
  <si>
    <t>Utilidad antes del I.R.</t>
  </si>
  <si>
    <t>Impuesto a la renta 29.5%</t>
  </si>
  <si>
    <t>Utilidad neta</t>
  </si>
  <si>
    <t>Reserva legal (10%, hasta 20% del capital)</t>
  </si>
  <si>
    <t>Utilidad a distribuir</t>
  </si>
  <si>
    <t>PARAMETROS TRIBUTARIOS Y LEGALES</t>
  </si>
  <si>
    <t>Tasa del impuesto a la renta</t>
  </si>
  <si>
    <t>Reserva legal sobre utilidad neta</t>
  </si>
  <si>
    <t>Limite de reserva sobre capital</t>
  </si>
  <si>
    <t>PRESUPUESTO DE CAJA</t>
  </si>
  <si>
    <t>Año 0</t>
  </si>
  <si>
    <t>INGRESOS DE EFECTIVO</t>
  </si>
  <si>
    <t>Fondos propios</t>
  </si>
  <si>
    <t>Financiamiento</t>
  </si>
  <si>
    <t>Ingresos por venta de contado</t>
  </si>
  <si>
    <t>Recuperacion cuentas por cobrar del año</t>
  </si>
  <si>
    <t>Cuentas por cobrar año anterior</t>
  </si>
  <si>
    <t>Total ingresos</t>
  </si>
  <si>
    <t>EGRESOS DE EFECTIVO</t>
  </si>
  <si>
    <t>Compra de activos fijos</t>
  </si>
  <si>
    <t>Activos nominales</t>
  </si>
  <si>
    <t>Planilla de produccion</t>
  </si>
  <si>
    <t>Costos indirectos de fabricacion</t>
  </si>
  <si>
    <t>Compra de contado de insumos y servicios</t>
  </si>
  <si>
    <t>Pago a proveedores del año</t>
  </si>
  <si>
    <t>Impuesto a la renta pagado</t>
  </si>
  <si>
    <t>Pago de intereses</t>
  </si>
  <si>
    <t>Total egresos</t>
  </si>
  <si>
    <t>Flujo de efectivo</t>
  </si>
  <si>
    <t>Saldo inicial</t>
  </si>
  <si>
    <t>Saldo final</t>
  </si>
  <si>
    <t>Nota: el presupuesto se alimenta de ingresos, costos, planilla, gastos, impuestos y deuda. Un saldo negativo identifica una necesidad real de capital de trabajo.</t>
  </si>
  <si>
    <t>BALANCE GENERAL PROYECTADO</t>
  </si>
  <si>
    <t>Cuentas por cobrar</t>
  </si>
  <si>
    <t>Total activo circulante</t>
  </si>
  <si>
    <t>Total activo fijo neto</t>
  </si>
  <si>
    <t>Nominales:</t>
  </si>
  <si>
    <t>Total activo nominal</t>
  </si>
  <si>
    <t>PASIVOS</t>
  </si>
  <si>
    <t>Cuentas por pagar</t>
  </si>
  <si>
    <t>Prestamo de corto plazo</t>
  </si>
  <si>
    <t>Impuesto a la renta por pagar</t>
  </si>
  <si>
    <t>Total pasivo circulante</t>
  </si>
  <si>
    <t>A largo plazo:</t>
  </si>
  <si>
    <t>Prestamo de largo plazo</t>
  </si>
  <si>
    <t>Total pasivo largo plazo</t>
  </si>
  <si>
    <t>TOTAL PASIVOS</t>
  </si>
  <si>
    <t>PATRIMONIO</t>
  </si>
  <si>
    <t>Capital social</t>
  </si>
  <si>
    <t>Utilidad a distribuir del año</t>
  </si>
  <si>
    <t>Reserva legal acumulada</t>
  </si>
  <si>
    <t>Utilidad acumulada de años anteriores</t>
  </si>
  <si>
    <t>TOTAL PATRIMONIO</t>
  </si>
  <si>
    <t>RAZONES FINANCIERAS</t>
  </si>
  <si>
    <t>INDICES DE LIQUIDEZ</t>
  </si>
  <si>
    <t>Indice de solvencia</t>
  </si>
  <si>
    <t>veces</t>
  </si>
  <si>
    <t>Capital de trabajo neto</t>
  </si>
  <si>
    <t>S/</t>
  </si>
  <si>
    <t>Prueba del acido</t>
  </si>
  <si>
    <t>INDICES DE ACTIVIDAD</t>
  </si>
  <si>
    <t>Rotacion del inventario</t>
  </si>
  <si>
    <t>No aplica</t>
  </si>
  <si>
    <t>Plazo promedio del inventario</t>
  </si>
  <si>
    <t>Rotacion de cuentas por cobrar</t>
  </si>
  <si>
    <t>Plazo promedio de cobro</t>
  </si>
  <si>
    <t>dias</t>
  </si>
  <si>
    <t>Rotacion de cuentas por pagar</t>
  </si>
  <si>
    <t>Plazo promedio de pago</t>
  </si>
  <si>
    <t>RAZONES DE ENDEUDAMIENTO</t>
  </si>
  <si>
    <t>Razon de endeudamiento</t>
  </si>
  <si>
    <t>%</t>
  </si>
  <si>
    <t>Pasivo / Capital</t>
  </si>
  <si>
    <t>RAZONES DE RENTABILIDAD</t>
  </si>
  <si>
    <t>Margen bruto</t>
  </si>
  <si>
    <t>Margen operativo</t>
  </si>
  <si>
    <t>Margen neto</t>
  </si>
  <si>
    <t>Rotacion total del activo</t>
  </si>
  <si>
    <t>Rendimiento sobre activos (ROA)</t>
  </si>
  <si>
    <t>RAZONES DE COBERTURA</t>
  </si>
  <si>
    <t>Cobertura de intereses</t>
  </si>
  <si>
    <t>COMENTARIOS DE LAS RAZONES FINANCIERAS</t>
  </si>
  <si>
    <t>Pasivo / capital</t>
  </si>
  <si>
    <t>Rendimiento sobre activos</t>
  </si>
  <si>
    <t>PUNTO DE EQUILIBRIO</t>
  </si>
  <si>
    <t>Costos variables</t>
  </si>
  <si>
    <t>Costos directos</t>
  </si>
  <si>
    <t>Costos indirectos variables</t>
  </si>
  <si>
    <t>Costos fijos</t>
  </si>
  <si>
    <t>Estructura fija de produccion</t>
  </si>
  <si>
    <t>Financieros</t>
  </si>
  <si>
    <t>Punto de equilibrio en soles</t>
  </si>
  <si>
    <t>Punto de equilibrio en museos equivalentes</t>
  </si>
  <si>
    <t>Porcentaje de ventas</t>
  </si>
  <si>
    <t>Criterio: los costos variables cambian con los museos atendidos y el consumo del servicio. Los costos fijos incluyen estructura productiva, administracion, ventas, depreciacion, amortizacion e intereses.</t>
  </si>
  <si>
    <t>APALANCAMIENTO OPERATIVO</t>
  </si>
  <si>
    <t>Ingresos menos costo variable</t>
  </si>
  <si>
    <t>Resultado antes de impuestos</t>
  </si>
  <si>
    <t>GAO</t>
  </si>
  <si>
    <t>Flujo Neto de Efectivo - Original</t>
  </si>
  <si>
    <t>DESCRIPCION</t>
  </si>
  <si>
    <t>AÑO 0</t>
  </si>
  <si>
    <t>Inversion</t>
  </si>
  <si>
    <t>Flujo de ingresos</t>
  </si>
  <si>
    <t>Flujo de egresos</t>
  </si>
  <si>
    <t>Mas liquidacion cuentas por cobrar</t>
  </si>
  <si>
    <t>Mas liquidacion inventarios finales</t>
  </si>
  <si>
    <t>Mas valor de salvamento</t>
  </si>
  <si>
    <t>Menos pasivo circulante</t>
  </si>
  <si>
    <t>Flujo Neto de efectivo</t>
  </si>
  <si>
    <t>El flujo neto incorpora en el Año 10 la recuperacion de cuentas por cobrar, el valor de salvamento y la cancelacion del pasivo circulante, siguiendo la estructura del documento de referencia.</t>
  </si>
  <si>
    <t>COSTO DE CAPITAL, VAN, TIR E INDICE DE RENTABILIDAD</t>
  </si>
  <si>
    <t>Monto de la inversion</t>
  </si>
  <si>
    <t>Costo</t>
  </si>
  <si>
    <t>Costo promedio</t>
  </si>
  <si>
    <t>Costo de capital</t>
  </si>
  <si>
    <t>Inflacion anual</t>
  </si>
  <si>
    <t>Inflacion promedio</t>
  </si>
  <si>
    <t>Riesgo de la inversion</t>
  </si>
  <si>
    <t>Tasa de corte</t>
  </si>
  <si>
    <t>Valor Actual Neto</t>
  </si>
  <si>
    <t>Flujos netos</t>
  </si>
  <si>
    <t>Flujos descontados</t>
  </si>
  <si>
    <t>Flujo descontado acumulado</t>
  </si>
  <si>
    <t>INVERSION INICIAL</t>
  </si>
  <si>
    <t>FLUJO AÑO 1</t>
  </si>
  <si>
    <t>FLUJO AÑO 2</t>
  </si>
  <si>
    <t>FLUJO AÑO 3</t>
  </si>
  <si>
    <t>FLUJO AÑO 4</t>
  </si>
  <si>
    <t>FLUJO AÑO 5</t>
  </si>
  <si>
    <t>FLUJO AÑO 6</t>
  </si>
  <si>
    <t>FLUJO AÑO 7</t>
  </si>
  <si>
    <t>FLUJO AÑO 8</t>
  </si>
  <si>
    <t>FLUJO AÑO 9</t>
  </si>
  <si>
    <t>FLUJO AÑO 10</t>
  </si>
  <si>
    <t>VAN</t>
  </si>
  <si>
    <t>TIR</t>
  </si>
  <si>
    <t>Indice de rentabilidad</t>
  </si>
  <si>
    <t>Periodo recuperacion descontado</t>
  </si>
  <si>
    <t>Resultado</t>
  </si>
  <si>
    <t>La tasa de corte integra el costo ponderado de fondos propios y financiamiento, la inflacion promedio y una prima de riesgo. La decision exige VAN positivo, TIR superior a la tasa de corte e indice de rentabilidad mayor que uno.</t>
  </si>
  <si>
    <t>Flujo Neto Pesimista - Ingresos -20%</t>
  </si>
  <si>
    <t>EVALUACION DEL ESCENARIO</t>
  </si>
  <si>
    <t>Supuesto evaluado</t>
  </si>
  <si>
    <t>Reduccion de ingresos</t>
  </si>
  <si>
    <t>Costo de capital del escenario</t>
  </si>
  <si>
    <t>Flujos para evaluacion</t>
  </si>
  <si>
    <t>Valor actual neto</t>
  </si>
  <si>
    <t>Tasa interna de retorno</t>
  </si>
  <si>
    <t>Criterio: el escenario se acepta cuando el VAN es positivo, la TIR supera la tasa de corte y el indice de rentabilidad es mayor que uno.</t>
  </si>
  <si>
    <t>Flujo Neto Pesimista - Gastos +10%</t>
  </si>
  <si>
    <t>Incremento de costos y gastos</t>
  </si>
  <si>
    <t>Flujo Neto Pesimista - Interes 24%</t>
  </si>
  <si>
    <t>Tasa de interes del financiamiento</t>
  </si>
  <si>
    <t>CEDULA DE DEUDA DEL ESCENARIO</t>
  </si>
  <si>
    <t>Riesgo de no recuperacion de Cuentas por Cobrar</t>
  </si>
  <si>
    <t>Cuentas por cobrar no recuperadas</t>
  </si>
  <si>
    <t>Riesgo Administrativo - Planilla y Evaluacion Financiera</t>
  </si>
  <si>
    <t>EVALUACION DEL RIESGO ADMINISTRATIVO</t>
  </si>
  <si>
    <t>Aumento adicional de gastos administrativos</t>
  </si>
  <si>
    <t>Gastos administrativos desembolsables - base</t>
  </si>
  <si>
    <t>Gastos administrativos desembolsables - escenario</t>
  </si>
  <si>
    <t>Ajuste administrativo</t>
  </si>
  <si>
    <t>Variacion del impuesto pagado</t>
  </si>
  <si>
    <t>Variacion del pasivo circulante final</t>
  </si>
  <si>
    <t>Flujo neto base</t>
  </si>
  <si>
    <t>Flujo neto con riesgo administrativo</t>
  </si>
  <si>
    <t>Diferencia frente al escenario base</t>
  </si>
  <si>
    <t>INDICADORES DEL ESCENARIO</t>
  </si>
  <si>
    <t>El escenario considera un incremento adicional de 15% en los gastos administrativos y muestra por separado su impacto directo, tributario y sobre el pasivo circulante final.</t>
  </si>
  <si>
    <t>Flujo Neto de Efectivo - Optimista</t>
  </si>
  <si>
    <t>Incremento de ingresos</t>
  </si>
  <si>
    <t>Incremento de costos</t>
  </si>
  <si>
    <t>ANALISIS UNIDIMENSIONAL DEL PRECIO</t>
  </si>
  <si>
    <t>Escenario</t>
  </si>
  <si>
    <t>Factor precio</t>
  </si>
  <si>
    <t>Ventas acumuladas</t>
  </si>
  <si>
    <t>IR</t>
  </si>
  <si>
    <t>Precio -15%</t>
  </si>
  <si>
    <t>Precio -10%</t>
  </si>
  <si>
    <t>Precio base</t>
  </si>
  <si>
    <t>Precio +10%</t>
  </si>
  <si>
    <t>Precio +15%</t>
  </si>
  <si>
    <t>Ventas escenario base</t>
  </si>
  <si>
    <t>Ventas precio -10%</t>
  </si>
  <si>
    <t>Diferencia</t>
  </si>
  <si>
    <t>FLUJOS DE EVALUACION - PRECIO -15%</t>
  </si>
  <si>
    <t>FLUJOS DE EVALUACION - PRECIO -10%</t>
  </si>
  <si>
    <t>FLUJOS DE EVALUACION - PRECIO BASE</t>
  </si>
  <si>
    <t>FLUJOS DE EVALUACION - PRECIO +10%</t>
  </si>
  <si>
    <t>FLUJOS DE EVALUACION - PRECIO +15%</t>
  </si>
  <si>
    <t>Decision</t>
  </si>
  <si>
    <t>El escenario de precio -10% mantiene VAN positivo, TIR superior a la tasa de corte e indice de rentabilidad mayor que uno, pero presenta un deficit temporal de caja cercano a S/111,946 que exige capital de trabajo o anticipos contractuales. Una reduccion de 15% vuelve inviable el proyecto.</t>
  </si>
  <si>
    <t>PRESUPUESTO DE CAJA - PRECIO REDUCIDO</t>
  </si>
  <si>
    <t>Reduccion de precio</t>
  </si>
  <si>
    <t>Flujo Neto - Bajando Precio 10%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</si>
</sst>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.00"/>
    <numFmt numFmtId="166" formatCode="#,##0.00;[Red]-#,##0.00"/>
    <numFmt numFmtId="167" formatCode="0.00%"/>
  </numFmts>
  <fonts count="8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theme="1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i/>
      <sz val="10"/>
      <color rgb="FF003333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6CAF0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003333"/>
      </left>
      <right style="thin">
        <color rgb="FF003333"/>
      </right>
      <top style="thin">
        <color rgb="FF003333"/>
      </top>
      <bottom style="thin">
        <color rgb="FF003333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166" fontId="4" fillId="3" borderId="1" xfId="0" applyNumberFormat="1" applyFont="1" applyFill="1" applyBorder="1"/>
    <xf numFmtId="165" fontId="4" fillId="3" borderId="1" xfId="0" applyNumberFormat="1" applyFont="1" applyFill="1" applyBorder="1"/>
    <xf numFmtId="167" fontId="4" fillId="3" borderId="1" xfId="0" applyNumberFormat="1" applyFont="1" applyFill="1" applyBorder="1"/>
    <xf numFmtId="0" fontId="4" fillId="3" borderId="1" xfId="0" applyFont="1" applyFill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4" fillId="4" borderId="1" xfId="0" applyFont="1" applyFill="1" applyBorder="1" applyAlignment="1">
      <alignment vertical="center"/>
    </xf>
    <xf numFmtId="166" fontId="4" fillId="4" borderId="1" xfId="0" applyNumberFormat="1" applyFont="1" applyFill="1" applyBorder="1"/>
    <xf numFmtId="0" fontId="6" fillId="5" borderId="1" xfId="0" applyFont="1" applyFill="1" applyBorder="1"/>
    <xf numFmtId="166" fontId="4" fillId="5" borderId="1" xfId="0" applyNumberFormat="1" applyFont="1" applyFill="1" applyBorder="1"/>
    <xf numFmtId="166" fontId="6" fillId="5" borderId="1" xfId="0" applyNumberFormat="1" applyFont="1" applyFill="1" applyBorder="1"/>
    <xf numFmtId="0" fontId="7" fillId="5" borderId="2" xfId="0" applyFont="1" applyFill="1" applyBorder="1" applyAlignment="1">
      <alignment vertical="top" wrapText="1"/>
    </xf>
    <xf numFmtId="0" fontId="6" fillId="3" borderId="1" xfId="0" applyFont="1" applyFill="1" applyBorder="1"/>
    <xf numFmtId="166" fontId="6" fillId="3" borderId="1" xfId="0" applyNumberFormat="1" applyFont="1" applyFill="1" applyBorder="1"/>
    <xf numFmtId="167" fontId="3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78"/>
  <sheetViews>
    <sheetView tabSelected="1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2" ht="20" customHeight="1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 ht="20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spans="1:12" ht="18" customHeight="1">
      <c r="A5" s="5" t="s">
        <v>14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1</v>
      </c>
      <c r="H5" s="6">
        <v>1</v>
      </c>
      <c r="I5" s="6">
        <v>1</v>
      </c>
      <c r="J5" s="6">
        <v>1</v>
      </c>
      <c r="K5" s="6">
        <v>1</v>
      </c>
    </row>
    <row r="6" spans="1:12" ht="18" customHeight="1">
      <c r="A6" s="5" t="s">
        <v>15</v>
      </c>
      <c r="B6" s="6">
        <v>0</v>
      </c>
      <c r="C6" s="6">
        <v>0</v>
      </c>
      <c r="D6" s="6">
        <v>2</v>
      </c>
      <c r="E6" s="6">
        <v>2</v>
      </c>
      <c r="F6" s="6">
        <v>3</v>
      </c>
      <c r="G6" s="6">
        <v>1</v>
      </c>
      <c r="H6" s="6">
        <v>2</v>
      </c>
      <c r="I6" s="6">
        <v>3</v>
      </c>
      <c r="J6" s="6">
        <v>3</v>
      </c>
      <c r="K6" s="6">
        <v>4</v>
      </c>
    </row>
    <row r="7" spans="1:12" ht="18" customHeight="1">
      <c r="A7" s="5" t="s">
        <v>16</v>
      </c>
      <c r="B7" s="6">
        <v>2</v>
      </c>
      <c r="C7" s="6">
        <v>2</v>
      </c>
      <c r="D7" s="6">
        <v>1</v>
      </c>
      <c r="E7" s="6">
        <v>1</v>
      </c>
      <c r="F7" s="6">
        <v>0</v>
      </c>
      <c r="G7" s="6">
        <v>2</v>
      </c>
      <c r="H7" s="6">
        <v>1</v>
      </c>
      <c r="I7" s="6">
        <v>0</v>
      </c>
      <c r="J7" s="6">
        <v>1</v>
      </c>
      <c r="K7" s="6">
        <v>0</v>
      </c>
    </row>
    <row r="8" spans="1:12" ht="18" customHeight="1">
      <c r="A8" s="5" t="s">
        <v>17</v>
      </c>
      <c r="B8" s="7">
        <f>SUM(B5,B6,B7)</f>
        <v>2</v>
      </c>
      <c r="C8" s="7">
        <f>SUM(C5,C6,C7)</f>
        <v>2</v>
      </c>
      <c r="D8" s="7">
        <f>SUM(D5,D6,D7)</f>
        <v>3</v>
      </c>
      <c r="E8" s="7">
        <f>SUM(E5,E6,E7)</f>
        <v>3</v>
      </c>
      <c r="F8" s="7">
        <f>SUM(F5,F6,F7)</f>
        <v>3</v>
      </c>
      <c r="G8" s="7">
        <f>SUM(G5,G6,G7)</f>
        <v>4</v>
      </c>
      <c r="H8" s="7">
        <f>SUM(H5,H6,H7)</f>
        <v>4</v>
      </c>
      <c r="I8" s="7">
        <f>SUM(I5,I6,I7)</f>
        <v>4</v>
      </c>
      <c r="J8" s="7">
        <f>SUM(J5,J6,J7)</f>
        <v>5</v>
      </c>
      <c r="K8" s="7">
        <f>SUM(K5,K6,K7)</f>
        <v>5</v>
      </c>
    </row>
    <row r="9" spans="1:12" ht="18" customHeight="1">
      <c r="A9" s="8" t="s">
        <v>18</v>
      </c>
      <c r="B9" s="8">
        <f>B51</f>
        <v>444000.0</v>
      </c>
      <c r="C9" s="8">
        <f>C51</f>
        <v>457320.0</v>
      </c>
      <c r="D9" s="8">
        <f>D51</f>
        <v>479951.16</v>
      </c>
      <c r="E9" s="8">
        <f>E51</f>
        <v>494349.69</v>
      </c>
      <c r="F9" s="8">
        <f>F51</f>
        <v>388975.84</v>
      </c>
      <c r="G9" s="8">
        <f>G51</f>
        <v>718511.32</v>
      </c>
      <c r="H9" s="8">
        <f>H51</f>
        <v>617863.82</v>
      </c>
      <c r="I9" s="8">
        <f>I51</f>
        <v>508014.9</v>
      </c>
      <c r="J9" s="8">
        <f>J51</f>
        <v>819234.5</v>
      </c>
      <c r="K9" s="8">
        <f>K51</f>
        <v>706460.04</v>
      </c>
    </row>
    <row r="10" spans="1:12" ht="18" customHeight="1">
      <c r="A10" s="5" t="s">
        <v>19</v>
      </c>
      <c r="B10" s="9">
        <f>B9*$B$75</f>
        <v>35520.0</v>
      </c>
      <c r="C10" s="9">
        <f>C9*$B$75</f>
        <v>36585.6</v>
      </c>
      <c r="D10" s="9">
        <f>D9*$B$75</f>
        <v>38396.09</v>
      </c>
      <c r="E10" s="9">
        <f>E9*$B$75</f>
        <v>39547.98</v>
      </c>
      <c r="F10" s="9">
        <f>F9*$B$75</f>
        <v>31118.07</v>
      </c>
      <c r="G10" s="9">
        <f>G9*$B$75</f>
        <v>57480.91</v>
      </c>
      <c r="H10" s="9">
        <f>H9*$B$75</f>
        <v>49429.11</v>
      </c>
      <c r="I10" s="9">
        <f>I9*$B$75</f>
        <v>40641.19</v>
      </c>
      <c r="J10" s="9">
        <f>J9*$B$75</f>
        <v>65538.76</v>
      </c>
      <c r="K10" s="9">
        <f>K9*$B$75</f>
        <v>56516.8</v>
      </c>
    </row>
    <row r="12" spans="1:12" ht="20" customHeight="1">
      <c r="A12" s="3" t="s">
        <v>20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2" ht="20" customHeight="1">
      <c r="A13" s="4" t="s">
        <v>3</v>
      </c>
      <c r="B13" s="4" t="s">
        <v>4</v>
      </c>
      <c r="C13" s="4" t="s">
        <v>5</v>
      </c>
      <c r="D13" s="4" t="s">
        <v>6</v>
      </c>
      <c r="E13" s="4" t="s">
        <v>7</v>
      </c>
      <c r="F13" s="4" t="s">
        <v>8</v>
      </c>
      <c r="G13" s="4" t="s">
        <v>9</v>
      </c>
      <c r="H13" s="4" t="s">
        <v>10</v>
      </c>
      <c r="I13" s="4" t="s">
        <v>11</v>
      </c>
      <c r="J13" s="4" t="s">
        <v>12</v>
      </c>
      <c r="K13" s="4" t="s">
        <v>13</v>
      </c>
    </row>
    <row r="14" spans="1:12" ht="18" customHeight="1">
      <c r="A14" s="5" t="s">
        <v>21</v>
      </c>
      <c r="B14" s="6">
        <f>SUM($B$8:B8)</f>
        <v>2</v>
      </c>
      <c r="C14" s="6">
        <f>SUM($B$8:C8)</f>
        <v>4</v>
      </c>
      <c r="D14" s="6">
        <f>SUM($B$8:D8)</f>
        <v>7</v>
      </c>
      <c r="E14" s="6">
        <f>SUM($B$8:E8)</f>
        <v>10</v>
      </c>
      <c r="F14" s="6">
        <f>SUM($B$8:F8)</f>
        <v>13</v>
      </c>
      <c r="G14" s="6">
        <f>SUM($B$8:G8)</f>
        <v>17</v>
      </c>
      <c r="H14" s="6">
        <f>SUM($B$8:H8)</f>
        <v>21</v>
      </c>
      <c r="I14" s="6">
        <f>SUM($B$8:I8)</f>
        <v>25</v>
      </c>
      <c r="J14" s="6">
        <f>SUM($B$8:J8)</f>
        <v>30</v>
      </c>
      <c r="K14" s="6">
        <f>SUM($B$8:K8)</f>
        <v>35</v>
      </c>
    </row>
    <row r="15" spans="1:12" ht="18" customHeight="1">
      <c r="A15" s="5" t="s">
        <v>22</v>
      </c>
      <c r="B15" s="10">
        <f>0+B5*$B$78</f>
        <v>0.0</v>
      </c>
      <c r="C15" s="10">
        <f>SUM($B$5:B5)+C5*$B$78</f>
        <v>0.0</v>
      </c>
      <c r="D15" s="10">
        <f>SUM($B$5:C5)+D5*$B$78</f>
        <v>0.0</v>
      </c>
      <c r="E15" s="10">
        <f>SUM($B$5:D5)+E5*$B$78</f>
        <v>0.0</v>
      </c>
      <c r="F15" s="10">
        <f>SUM($B$5:E5)+F5*$B$78</f>
        <v>0.0</v>
      </c>
      <c r="G15" s="10">
        <f>SUM($B$5:F5)+G5*$B$78</f>
        <v>0.5</v>
      </c>
      <c r="H15" s="10">
        <f>SUM($B$5:G5)+H5*$B$78</f>
        <v>1.5</v>
      </c>
      <c r="I15" s="10">
        <f>SUM($B$5:H5)+I5*$B$78</f>
        <v>2.5</v>
      </c>
      <c r="J15" s="10">
        <f>SUM($B$5:I5)+J5*$B$78</f>
        <v>3.5</v>
      </c>
      <c r="K15" s="10">
        <f>SUM($B$5:J5)+K5*$B$78</f>
        <v>4.5</v>
      </c>
    </row>
    <row r="16" spans="1:12" ht="18" customHeight="1">
      <c r="A16" s="5" t="s">
        <v>23</v>
      </c>
      <c r="B16" s="10">
        <f>0+B6*$B$78</f>
        <v>0.0</v>
      </c>
      <c r="C16" s="10">
        <f>SUM($B$6:B6)+C6*$B$78</f>
        <v>0.0</v>
      </c>
      <c r="D16" s="10">
        <f>SUM($B$6:C6)+D6*$B$78</f>
        <v>1.0</v>
      </c>
      <c r="E16" s="10">
        <f>SUM($B$6:D6)+E6*$B$78</f>
        <v>3.0</v>
      </c>
      <c r="F16" s="10">
        <f>SUM($B$6:E6)+F6*$B$78</f>
        <v>5.5</v>
      </c>
      <c r="G16" s="10">
        <f>SUM($B$6:F6)+G6*$B$78</f>
        <v>7.5</v>
      </c>
      <c r="H16" s="10">
        <f>SUM($B$6:G6)+H6*$B$78</f>
        <v>9.0</v>
      </c>
      <c r="I16" s="10">
        <f>SUM($B$6:H6)+I6*$B$78</f>
        <v>11.5</v>
      </c>
      <c r="J16" s="10">
        <f>SUM($B$6:I6)+J6*$B$78</f>
        <v>14.5</v>
      </c>
      <c r="K16" s="10">
        <f>SUM($B$6:J6)+K6*$B$78</f>
        <v>18.0</v>
      </c>
    </row>
    <row r="17" spans="1:11" ht="18" customHeight="1">
      <c r="A17" s="5" t="s">
        <v>24</v>
      </c>
      <c r="B17" s="10">
        <f>0+B7*$B$78</f>
        <v>1.0</v>
      </c>
      <c r="C17" s="10">
        <f>SUM($B$7:B7)+C7*$B$78</f>
        <v>3.0</v>
      </c>
      <c r="D17" s="10">
        <f>SUM($B$7:C7)+D7*$B$78</f>
        <v>4.5</v>
      </c>
      <c r="E17" s="10">
        <f>SUM($B$7:D7)+E7*$B$78</f>
        <v>5.5</v>
      </c>
      <c r="F17" s="10">
        <f>SUM($B$7:E7)+F7*$B$78</f>
        <v>6.0</v>
      </c>
      <c r="G17" s="10">
        <f>SUM($B$7:F7)+G7*$B$78</f>
        <v>7.0</v>
      </c>
      <c r="H17" s="10">
        <f>SUM($B$7:G7)+H7*$B$78</f>
        <v>8.5</v>
      </c>
      <c r="I17" s="10">
        <f>SUM($B$7:H7)+I7*$B$78</f>
        <v>9.0</v>
      </c>
      <c r="J17" s="10">
        <f>SUM($B$7:I7)+J7*$B$78</f>
        <v>9.5</v>
      </c>
      <c r="K17" s="10">
        <f>SUM($B$7:J7)+K7*$B$78</f>
        <v>10.0</v>
      </c>
    </row>
    <row r="18" spans="1:11" ht="18" customHeight="1">
      <c r="A18" s="8" t="s">
        <v>25</v>
      </c>
      <c r="B18" s="8">
        <f>B61</f>
        <v>62400.0</v>
      </c>
      <c r="C18" s="8">
        <f>C61</f>
        <v>192816.0</v>
      </c>
      <c r="D18" s="8">
        <f>D61</f>
        <v>334820.04</v>
      </c>
      <c r="E18" s="8">
        <f>E61</f>
        <v>489104.61</v>
      </c>
      <c r="F18" s="8">
        <f>F61</f>
        <v>636812.88</v>
      </c>
      <c r="G18" s="8">
        <f>G61</f>
        <v>822653.52</v>
      </c>
      <c r="H18" s="8">
        <f>H61</f>
        <v>1052549.19</v>
      </c>
      <c r="I18" s="8">
        <f>I61</f>
        <v>1264745.43</v>
      </c>
      <c r="J18" s="8">
        <f>J61</f>
        <v>1515033.48</v>
      </c>
      <c r="K18" s="8">
        <f>K61</f>
        <v>1807033.19</v>
      </c>
    </row>
    <row r="19" spans="1:11" ht="18" customHeight="1">
      <c r="A19" s="8" t="s">
        <v>26</v>
      </c>
      <c r="B19" s="8">
        <f>SUM(B9,B10,B18)</f>
        <v>541920.0</v>
      </c>
      <c r="C19" s="8">
        <f>SUM(C9,C10,C18)</f>
        <v>686721.6</v>
      </c>
      <c r="D19" s="8">
        <f>SUM(D9,D10,D18)</f>
        <v>853167.29</v>
      </c>
      <c r="E19" s="8">
        <f>SUM(E9,E10,E18)</f>
        <v>1023002.28</v>
      </c>
      <c r="F19" s="8">
        <f>SUM(F9,F10,F18)</f>
        <v>1056906.8</v>
      </c>
      <c r="G19" s="8">
        <f>SUM(G9,G10,G18)</f>
        <v>1598645.75</v>
      </c>
      <c r="H19" s="8">
        <f>SUM(H9,H10,H18)</f>
        <v>1719842.11</v>
      </c>
      <c r="I19" s="8">
        <f>SUM(I9,I10,I18)</f>
        <v>1813401.52</v>
      </c>
      <c r="J19" s="8">
        <f>SUM(J9,J10,J18)</f>
        <v>2399806.75</v>
      </c>
      <c r="K19" s="8">
        <f>SUM(K9,K10,K18)</f>
        <v>2570010.03</v>
      </c>
    </row>
    <row r="21" spans="1:11" ht="20" customHeight="1">
      <c r="A21" s="3" t="s">
        <v>27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ht="20" customHeight="1">
      <c r="A22" s="4" t="s">
        <v>3</v>
      </c>
      <c r="B22" s="4" t="s">
        <v>4</v>
      </c>
      <c r="C22" s="4" t="s">
        <v>5</v>
      </c>
      <c r="D22" s="4" t="s">
        <v>6</v>
      </c>
      <c r="E22" s="4" t="s">
        <v>7</v>
      </c>
      <c r="F22" s="4" t="s">
        <v>8</v>
      </c>
      <c r="G22" s="4" t="s">
        <v>9</v>
      </c>
      <c r="H22" s="4" t="s">
        <v>10</v>
      </c>
      <c r="I22" s="4" t="s">
        <v>11</v>
      </c>
      <c r="J22" s="4" t="s">
        <v>12</v>
      </c>
      <c r="K22" s="4" t="s">
        <v>13</v>
      </c>
    </row>
    <row r="23" spans="1:11" ht="18" customHeight="1">
      <c r="A23" s="5" t="s">
        <v>28</v>
      </c>
      <c r="B23" s="9">
        <f>B19*$B$69</f>
        <v>216768.0</v>
      </c>
      <c r="C23" s="9">
        <f>C19*$B$69</f>
        <v>274688.64</v>
      </c>
      <c r="D23" s="9">
        <f>D19*$B$69</f>
        <v>341266.92</v>
      </c>
      <c r="E23" s="9">
        <f>E19*$B$69</f>
        <v>409200.91</v>
      </c>
      <c r="F23" s="9">
        <f>F19*$B$69</f>
        <v>422762.72</v>
      </c>
      <c r="G23" s="9">
        <f>G19*$B$69</f>
        <v>639458.3</v>
      </c>
      <c r="H23" s="9">
        <f>H19*$B$69</f>
        <v>687936.84</v>
      </c>
      <c r="I23" s="9">
        <f>I19*$B$69</f>
        <v>725360.61</v>
      </c>
      <c r="J23" s="9">
        <f>J19*$B$69</f>
        <v>959922.7</v>
      </c>
      <c r="K23" s="9">
        <f>K19*$B$69</f>
        <v>1028004.01</v>
      </c>
    </row>
    <row r="24" spans="1:11" ht="18" customHeight="1">
      <c r="A24" s="5" t="s">
        <v>29</v>
      </c>
      <c r="B24" s="9">
        <f>B19*$B$70</f>
        <v>325152.0</v>
      </c>
      <c r="C24" s="9">
        <f>C19*$B$70</f>
        <v>412032.96</v>
      </c>
      <c r="D24" s="9">
        <f>D19*$B$70</f>
        <v>511900.38</v>
      </c>
      <c r="E24" s="9">
        <f>E19*$B$70</f>
        <v>613801.37</v>
      </c>
      <c r="F24" s="9">
        <f>F19*$B$70</f>
        <v>634144.08</v>
      </c>
      <c r="G24" s="9">
        <f>G19*$B$70</f>
        <v>959187.45</v>
      </c>
      <c r="H24" s="9">
        <f>H19*$B$70</f>
        <v>1031905.27</v>
      </c>
      <c r="I24" s="9">
        <f>I19*$B$70</f>
        <v>1088040.91</v>
      </c>
      <c r="J24" s="9">
        <f>J19*$B$70</f>
        <v>1439884.05</v>
      </c>
      <c r="K24" s="9">
        <f>K19*$B$70</f>
        <v>1542006.02</v>
      </c>
    </row>
    <row r="25" spans="1:11" ht="18" customHeight="1">
      <c r="A25" s="5" t="s">
        <v>30</v>
      </c>
      <c r="B25" s="9">
        <f>B24*$B$71</f>
        <v>260121.6</v>
      </c>
      <c r="C25" s="9">
        <f>C24*$B$71</f>
        <v>329626.37</v>
      </c>
      <c r="D25" s="9">
        <f>D24*$B$71</f>
        <v>409520.3</v>
      </c>
      <c r="E25" s="9">
        <f>E24*$B$71</f>
        <v>491041.09</v>
      </c>
      <c r="F25" s="9">
        <f>F24*$B$71</f>
        <v>507315.26</v>
      </c>
      <c r="G25" s="9">
        <f>G24*$B$71</f>
        <v>767349.96</v>
      </c>
      <c r="H25" s="9">
        <f>H24*$B$71</f>
        <v>825524.21</v>
      </c>
      <c r="I25" s="9">
        <f>I24*$B$71</f>
        <v>870432.73</v>
      </c>
      <c r="J25" s="9">
        <f>J24*$B$71</f>
        <v>1151907.24</v>
      </c>
      <c r="K25" s="9">
        <f>K24*$B$71</f>
        <v>1233604.81</v>
      </c>
    </row>
    <row r="26" spans="1:11" ht="18" customHeight="1">
      <c r="A26" s="5" t="s">
        <v>31</v>
      </c>
      <c r="B26" s="9">
        <f>0</f>
        <v>0.0</v>
      </c>
      <c r="C26" s="9">
        <f>B28</f>
        <v>65030.4</v>
      </c>
      <c r="D26" s="9">
        <f>C28</f>
        <v>82406.59</v>
      </c>
      <c r="E26" s="9">
        <f>D28</f>
        <v>102380.08</v>
      </c>
      <c r="F26" s="9">
        <f>E28</f>
        <v>122760.27</v>
      </c>
      <c r="G26" s="9">
        <f>F28</f>
        <v>126828.82</v>
      </c>
      <c r="H26" s="9">
        <f>G28</f>
        <v>191837.49</v>
      </c>
      <c r="I26" s="9">
        <f>H28</f>
        <v>206381.05</v>
      </c>
      <c r="J26" s="9">
        <f>I28</f>
        <v>217608.18</v>
      </c>
      <c r="K26" s="9">
        <f>J28</f>
        <v>287976.81</v>
      </c>
    </row>
    <row r="27" spans="1:11" ht="18" customHeight="1">
      <c r="A27" s="8" t="s">
        <v>32</v>
      </c>
      <c r="B27" s="8">
        <f>SUM(B23,B25,B26)</f>
        <v>476889.6</v>
      </c>
      <c r="C27" s="8">
        <f>SUM(C23,C25,C26)</f>
        <v>669345.41</v>
      </c>
      <c r="D27" s="8">
        <f>SUM(D23,D25,D26)</f>
        <v>833193.81</v>
      </c>
      <c r="E27" s="8">
        <f>SUM(E23,E25,E26)</f>
        <v>1002622.08</v>
      </c>
      <c r="F27" s="8">
        <f>SUM(F23,F25,F26)</f>
        <v>1052838.25</v>
      </c>
      <c r="G27" s="8">
        <f>SUM(G23,G25,G26)</f>
        <v>1533637.07</v>
      </c>
      <c r="H27" s="8">
        <f>SUM(H23,H25,H26)</f>
        <v>1705298.55</v>
      </c>
      <c r="I27" s="8">
        <f>SUM(I23,I25,I26)</f>
        <v>1802174.39</v>
      </c>
      <c r="J27" s="8">
        <f>SUM(J23,J25,J26)</f>
        <v>2329438.12</v>
      </c>
      <c r="K27" s="8">
        <f>SUM(K23,K25,K26)</f>
        <v>2549585.64</v>
      </c>
    </row>
    <row r="28" spans="1:11" ht="18" customHeight="1">
      <c r="A28" s="5" t="s">
        <v>33</v>
      </c>
      <c r="B28" s="9">
        <f>B24*(1-$B$71)</f>
        <v>65030.4</v>
      </c>
      <c r="C28" s="9">
        <f>C24*(1-$B$71)</f>
        <v>82406.59</v>
      </c>
      <c r="D28" s="9">
        <f>D24*(1-$B$71)</f>
        <v>102380.08</v>
      </c>
      <c r="E28" s="9">
        <f>E24*(1-$B$71)</f>
        <v>122760.27</v>
      </c>
      <c r="F28" s="9">
        <f>F24*(1-$B$71)</f>
        <v>126828.82</v>
      </c>
      <c r="G28" s="9">
        <f>G24*(1-$B$71)</f>
        <v>191837.49</v>
      </c>
      <c r="H28" s="9">
        <f>H24*(1-$B$71)</f>
        <v>206381.05</v>
      </c>
      <c r="I28" s="9">
        <f>I24*(1-$B$71)</f>
        <v>217608.18</v>
      </c>
      <c r="J28" s="9">
        <f>J24*(1-$B$71)</f>
        <v>287976.81</v>
      </c>
      <c r="K28" s="9">
        <f>K24*(1-$B$71)</f>
        <v>308401.2</v>
      </c>
    </row>
    <row r="30" spans="1:11" ht="20" customHeight="1">
      <c r="A30" s="3" t="s">
        <v>34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ht="20" customHeight="1">
      <c r="A31" s="4" t="s">
        <v>3</v>
      </c>
      <c r="B31" s="4" t="s">
        <v>4</v>
      </c>
      <c r="C31" s="4" t="s">
        <v>5</v>
      </c>
      <c r="D31" s="4" t="s">
        <v>6</v>
      </c>
      <c r="E31" s="4" t="s">
        <v>7</v>
      </c>
      <c r="F31" s="4" t="s">
        <v>8</v>
      </c>
      <c r="G31" s="4" t="s">
        <v>9</v>
      </c>
      <c r="H31" s="4" t="s">
        <v>10</v>
      </c>
      <c r="I31" s="4" t="s">
        <v>11</v>
      </c>
      <c r="J31" s="4" t="s">
        <v>12</v>
      </c>
      <c r="K31" s="4" t="s">
        <v>13</v>
      </c>
    </row>
    <row r="32" spans="1:11" ht="18" customHeight="1">
      <c r="A32" s="5" t="s">
        <v>35</v>
      </c>
      <c r="B32" s="11">
        <v>0.03</v>
      </c>
      <c r="C32" s="11">
        <v>0.03</v>
      </c>
      <c r="D32" s="11">
        <v>0.03</v>
      </c>
      <c r="E32" s="11">
        <v>0.03</v>
      </c>
      <c r="F32" s="11">
        <v>0.035</v>
      </c>
      <c r="G32" s="11">
        <v>0.04</v>
      </c>
      <c r="H32" s="11">
        <v>0.04</v>
      </c>
      <c r="I32" s="11">
        <v>0.04</v>
      </c>
      <c r="J32" s="11">
        <v>0.04</v>
      </c>
      <c r="K32" s="11">
        <v>0.04</v>
      </c>
    </row>
    <row r="33" spans="1:11" ht="18" customHeight="1">
      <c r="A33" s="5" t="s">
        <v>36</v>
      </c>
      <c r="B33" s="10">
        <f>1</f>
        <v>1.0</v>
      </c>
      <c r="C33" s="10">
        <f>B33*(1+B32)</f>
        <v>1.03</v>
      </c>
      <c r="D33" s="10">
        <f>C33*(1+C32)</f>
        <v>1.0609</v>
      </c>
      <c r="E33" s="10">
        <f>D33*(1+D32)</f>
        <v>1.092727</v>
      </c>
      <c r="F33" s="10">
        <f>E33*(1+E32)</f>
        <v>1.1255088100000001</v>
      </c>
      <c r="G33" s="10">
        <f>F33*(1+F32)</f>
        <v>1.16490161835</v>
      </c>
      <c r="H33" s="10">
        <f>G33*(1+G32)</f>
        <v>1.211497683084</v>
      </c>
      <c r="I33" s="10">
        <f>H33*(1+H32)</f>
        <v>1.25995759040736</v>
      </c>
      <c r="J33" s="10">
        <f>I33*(1+I32)</f>
        <v>1.3103558940236546</v>
      </c>
      <c r="K33" s="10">
        <f>J33*(1+J32)</f>
        <v>1.3627701297846009</v>
      </c>
    </row>
    <row r="36" spans="1:11" ht="18" customHeight="1">
      <c r="A36" s="4" t="s">
        <v>37</v>
      </c>
      <c r="B36" s="4" t="s">
        <v>38</v>
      </c>
      <c r="C36" s="4" t="s">
        <v>39</v>
      </c>
      <c r="D36" s="4" t="s">
        <v>40</v>
      </c>
      <c r="E36" s="4" t="s">
        <v>41</v>
      </c>
      <c r="F36" s="4" t="s">
        <v>42</v>
      </c>
      <c r="G36" s="4" t="s">
        <v>43</v>
      </c>
      <c r="H36" s="4" t="s">
        <v>44</v>
      </c>
    </row>
    <row r="37" spans="1:11" ht="18" customHeight="1">
      <c r="A37" s="5" t="s">
        <v>45</v>
      </c>
      <c r="B37" s="9">
        <v>48000</v>
      </c>
      <c r="C37" s="10">
        <v>1.2</v>
      </c>
      <c r="D37" s="9">
        <f>B37*C37</f>
        <v>57600.0</v>
      </c>
      <c r="E37" s="9">
        <v>14000</v>
      </c>
      <c r="F37" s="9">
        <f>E37*C37</f>
        <v>16800.0</v>
      </c>
      <c r="G37" s="12" t="s">
        <v>46</v>
      </c>
      <c r="H37" s="12" t="s">
        <v>47</v>
      </c>
    </row>
    <row r="38" spans="1:11" ht="18" customHeight="1">
      <c r="A38" s="5" t="s">
        <v>48</v>
      </c>
      <c r="B38" s="9">
        <v>96000</v>
      </c>
      <c r="C38" s="10">
        <f>$C$37</f>
        <v>1.2</v>
      </c>
      <c r="D38" s="9">
        <f>B38*C38</f>
        <v>115200.0</v>
      </c>
      <c r="E38" s="9">
        <v>29000</v>
      </c>
      <c r="F38" s="9">
        <f>E38*C38</f>
        <v>34800.0</v>
      </c>
      <c r="G38" s="12" t="s">
        <v>49</v>
      </c>
      <c r="H38" s="12" t="s">
        <v>50</v>
      </c>
    </row>
    <row r="39" spans="1:11" ht="18" customHeight="1">
      <c r="A39" s="5" t="s">
        <v>51</v>
      </c>
      <c r="B39" s="9">
        <v>185000</v>
      </c>
      <c r="C39" s="10">
        <f>$C$37</f>
        <v>1.2</v>
      </c>
      <c r="D39" s="9">
        <f>B39*C39</f>
        <v>222000.0</v>
      </c>
      <c r="E39" s="9">
        <v>52000</v>
      </c>
      <c r="F39" s="9">
        <f>E39*C39</f>
        <v>62400.0</v>
      </c>
      <c r="G39" s="12" t="s">
        <v>52</v>
      </c>
      <c r="H39" s="12" t="s">
        <v>53</v>
      </c>
    </row>
    <row r="41" spans="1:11" ht="18" customHeight="1">
      <c r="A41" s="13" t="s">
        <v>54</v>
      </c>
    </row>
    <row r="43" spans="1:11" ht="20" customHeight="1">
      <c r="A43" s="3" t="s">
        <v>55</v>
      </c>
      <c r="B43" s="3"/>
      <c r="C43" s="3"/>
      <c r="D43" s="3"/>
      <c r="E43" s="3"/>
      <c r="F43" s="3"/>
      <c r="G43" s="3"/>
      <c r="H43" s="3"/>
      <c r="I43" s="3"/>
      <c r="J43" s="3"/>
      <c r="K43" s="3"/>
    </row>
    <row r="44" spans="1:11" ht="20" customHeight="1">
      <c r="A44" s="4" t="s">
        <v>3</v>
      </c>
      <c r="B44" s="4" t="s">
        <v>4</v>
      </c>
      <c r="C44" s="4" t="s">
        <v>5</v>
      </c>
      <c r="D44" s="4" t="s">
        <v>6</v>
      </c>
      <c r="E44" s="4" t="s">
        <v>7</v>
      </c>
      <c r="F44" s="4" t="s">
        <v>8</v>
      </c>
      <c r="G44" s="4" t="s">
        <v>9</v>
      </c>
      <c r="H44" s="4" t="s">
        <v>10</v>
      </c>
      <c r="I44" s="4" t="s">
        <v>11</v>
      </c>
      <c r="J44" s="4" t="s">
        <v>12</v>
      </c>
      <c r="K44" s="4" t="s">
        <v>13</v>
      </c>
    </row>
    <row r="45" spans="1:11" ht="18" customHeight="1">
      <c r="A45" s="5" t="s">
        <v>56</v>
      </c>
      <c r="B45" s="9">
        <f>$D$37*B33</f>
        <v>57600.0</v>
      </c>
      <c r="C45" s="9">
        <f>$D$37*C33</f>
        <v>59328.0</v>
      </c>
      <c r="D45" s="9">
        <f>$D$37*D33</f>
        <v>61107.84</v>
      </c>
      <c r="E45" s="9">
        <f>$D$37*E33</f>
        <v>62941.08</v>
      </c>
      <c r="F45" s="9">
        <f>$D$37*F33</f>
        <v>64829.31</v>
      </c>
      <c r="G45" s="9">
        <f>$D$37*G33</f>
        <v>67098.33</v>
      </c>
      <c r="H45" s="9">
        <f>$D$37*H33</f>
        <v>69782.27</v>
      </c>
      <c r="I45" s="9">
        <f>$D$37*I33</f>
        <v>72573.56</v>
      </c>
      <c r="J45" s="9">
        <f>$D$37*J33</f>
        <v>75476.5</v>
      </c>
      <c r="K45" s="9">
        <f>$D$37*K33</f>
        <v>78495.56</v>
      </c>
    </row>
    <row r="46" spans="1:11" ht="18" customHeight="1">
      <c r="A46" s="5" t="s">
        <v>57</v>
      </c>
      <c r="B46" s="9">
        <f>$D$38*B33</f>
        <v>115200.0</v>
      </c>
      <c r="C46" s="9">
        <f>$D$38*C33</f>
        <v>118656.0</v>
      </c>
      <c r="D46" s="9">
        <f>$D$38*D33</f>
        <v>122215.68</v>
      </c>
      <c r="E46" s="9">
        <f>$D$38*E33</f>
        <v>125882.15</v>
      </c>
      <c r="F46" s="9">
        <f>$D$38*F33</f>
        <v>129658.61</v>
      </c>
      <c r="G46" s="9">
        <f>$D$38*G33</f>
        <v>134196.67</v>
      </c>
      <c r="H46" s="9">
        <f>$D$38*H33</f>
        <v>139564.53</v>
      </c>
      <c r="I46" s="9">
        <f>$D$38*I33</f>
        <v>145147.11</v>
      </c>
      <c r="J46" s="9">
        <f>$D$38*J33</f>
        <v>150953.0</v>
      </c>
      <c r="K46" s="9">
        <f>$D$38*K33</f>
        <v>156991.12</v>
      </c>
    </row>
    <row r="47" spans="1:11" ht="18" customHeight="1">
      <c r="A47" s="5" t="s">
        <v>58</v>
      </c>
      <c r="B47" s="9">
        <f>$D$39*B33</f>
        <v>222000.0</v>
      </c>
      <c r="C47" s="9">
        <f>$D$39*C33</f>
        <v>228660.0</v>
      </c>
      <c r="D47" s="9">
        <f>$D$39*D33</f>
        <v>235519.8</v>
      </c>
      <c r="E47" s="9">
        <f>$D$39*E33</f>
        <v>242585.39</v>
      </c>
      <c r="F47" s="9">
        <f>$D$39*F33</f>
        <v>249862.96</v>
      </c>
      <c r="G47" s="9">
        <f>$D$39*G33</f>
        <v>258608.16</v>
      </c>
      <c r="H47" s="9">
        <f>$D$39*H33</f>
        <v>268952.49</v>
      </c>
      <c r="I47" s="9">
        <f>$D$39*I33</f>
        <v>279710.59</v>
      </c>
      <c r="J47" s="9">
        <f>$D$39*J33</f>
        <v>290899.01</v>
      </c>
      <c r="K47" s="9">
        <f>$D$39*K33</f>
        <v>302534.97</v>
      </c>
    </row>
    <row r="48" spans="1:11" ht="18" customHeight="1">
      <c r="A48" s="5" t="s">
        <v>59</v>
      </c>
      <c r="B48" s="9">
        <f>B5*B45</f>
        <v>0.0</v>
      </c>
      <c r="C48" s="9">
        <f>C5*C45</f>
        <v>0.0</v>
      </c>
      <c r="D48" s="9">
        <f>D5*D45</f>
        <v>0.0</v>
      </c>
      <c r="E48" s="9">
        <f>E5*E45</f>
        <v>0.0</v>
      </c>
      <c r="F48" s="9">
        <f>F5*F45</f>
        <v>0.0</v>
      </c>
      <c r="G48" s="9">
        <f>G5*G45</f>
        <v>67098.33</v>
      </c>
      <c r="H48" s="9">
        <f>H5*H45</f>
        <v>69782.27</v>
      </c>
      <c r="I48" s="9">
        <f>I5*I45</f>
        <v>72573.56</v>
      </c>
      <c r="J48" s="9">
        <f>J5*J45</f>
        <v>75476.5</v>
      </c>
      <c r="K48" s="9">
        <f>K5*K45</f>
        <v>78495.56</v>
      </c>
    </row>
    <row r="49" spans="1:11" ht="18" customHeight="1">
      <c r="A49" s="5" t="s">
        <v>60</v>
      </c>
      <c r="B49" s="9">
        <f>B6*B46</f>
        <v>0.0</v>
      </c>
      <c r="C49" s="9">
        <f>C6*C46</f>
        <v>0.0</v>
      </c>
      <c r="D49" s="9">
        <f>D6*D46</f>
        <v>244431.36</v>
      </c>
      <c r="E49" s="9">
        <f>E6*E46</f>
        <v>251764.3</v>
      </c>
      <c r="F49" s="9">
        <f>F6*F46</f>
        <v>388975.84</v>
      </c>
      <c r="G49" s="9">
        <f>G6*G46</f>
        <v>134196.67</v>
      </c>
      <c r="H49" s="9">
        <f>H6*H46</f>
        <v>279129.07</v>
      </c>
      <c r="I49" s="9">
        <f>I6*I46</f>
        <v>435441.34</v>
      </c>
      <c r="J49" s="9">
        <f>J6*J46</f>
        <v>452859.0</v>
      </c>
      <c r="K49" s="9">
        <f>K6*K46</f>
        <v>627964.48</v>
      </c>
    </row>
    <row r="50" spans="1:11" ht="18" customHeight="1">
      <c r="A50" s="5" t="s">
        <v>61</v>
      </c>
      <c r="B50" s="9">
        <f>B7*B47</f>
        <v>444000.0</v>
      </c>
      <c r="C50" s="9">
        <f>C7*C47</f>
        <v>457320.0</v>
      </c>
      <c r="D50" s="9">
        <f>D7*D47</f>
        <v>235519.8</v>
      </c>
      <c r="E50" s="9">
        <f>E7*E47</f>
        <v>242585.39</v>
      </c>
      <c r="F50" s="9">
        <f>F7*F47</f>
        <v>0.0</v>
      </c>
      <c r="G50" s="9">
        <f>G7*G47</f>
        <v>517216.32</v>
      </c>
      <c r="H50" s="9">
        <f>H7*H47</f>
        <v>268952.49</v>
      </c>
      <c r="I50" s="9">
        <f>I7*I47</f>
        <v>0.0</v>
      </c>
      <c r="J50" s="9">
        <f>J7*J47</f>
        <v>290899.01</v>
      </c>
      <c r="K50" s="9">
        <f>K7*K47</f>
        <v>0.0</v>
      </c>
    </row>
    <row r="51" spans="1:11" ht="18" customHeight="1">
      <c r="A51" s="8" t="s">
        <v>62</v>
      </c>
      <c r="B51" s="8">
        <f>SUM(B48,B49,B50)</f>
        <v>444000.0</v>
      </c>
      <c r="C51" s="8">
        <f>SUM(C48,C49,C50)</f>
        <v>457320.0</v>
      </c>
      <c r="D51" s="8">
        <f>SUM(D48,D49,D50)</f>
        <v>479951.16</v>
      </c>
      <c r="E51" s="8">
        <f>SUM(E48,E49,E50)</f>
        <v>494349.69</v>
      </c>
      <c r="F51" s="8">
        <f>SUM(F48,F49,F50)</f>
        <v>388975.84</v>
      </c>
      <c r="G51" s="8">
        <f>SUM(G48,G49,G50)</f>
        <v>718511.32</v>
      </c>
      <c r="H51" s="8">
        <f>SUM(H48,H49,H50)</f>
        <v>617863.82</v>
      </c>
      <c r="I51" s="8">
        <f>SUM(I48,I49,I50)</f>
        <v>508014.9</v>
      </c>
      <c r="J51" s="8">
        <f>SUM(J48,J49,J50)</f>
        <v>819234.5</v>
      </c>
      <c r="K51" s="8">
        <f>SUM(K48,K49,K50)</f>
        <v>706460.04</v>
      </c>
    </row>
    <row r="53" spans="1:11" ht="20" customHeight="1">
      <c r="A53" s="3" t="s">
        <v>63</v>
      </c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ht="20" customHeight="1">
      <c r="A54" s="4" t="s">
        <v>3</v>
      </c>
      <c r="B54" s="4" t="s">
        <v>4</v>
      </c>
      <c r="C54" s="4" t="s">
        <v>5</v>
      </c>
      <c r="D54" s="4" t="s">
        <v>6</v>
      </c>
      <c r="E54" s="4" t="s">
        <v>7</v>
      </c>
      <c r="F54" s="4" t="s">
        <v>8</v>
      </c>
      <c r="G54" s="4" t="s">
        <v>9</v>
      </c>
      <c r="H54" s="4" t="s">
        <v>10</v>
      </c>
      <c r="I54" s="4" t="s">
        <v>11</v>
      </c>
      <c r="J54" s="4" t="s">
        <v>12</v>
      </c>
      <c r="K54" s="4" t="s">
        <v>13</v>
      </c>
    </row>
    <row r="55" spans="1:11" ht="18" customHeight="1">
      <c r="A55" s="5" t="s">
        <v>64</v>
      </c>
      <c r="B55" s="9">
        <f>$F$37*B33</f>
        <v>16800.0</v>
      </c>
      <c r="C55" s="9">
        <f>$F$37*C33</f>
        <v>17304.0</v>
      </c>
      <c r="D55" s="9">
        <f>$F$37*D33</f>
        <v>17823.12</v>
      </c>
      <c r="E55" s="9">
        <f>$F$37*E33</f>
        <v>18357.81</v>
      </c>
      <c r="F55" s="9">
        <f>$F$37*F33</f>
        <v>18908.55</v>
      </c>
      <c r="G55" s="9">
        <f>$F$37*G33</f>
        <v>19570.35</v>
      </c>
      <c r="H55" s="9">
        <f>$F$37*H33</f>
        <v>20353.16</v>
      </c>
      <c r="I55" s="9">
        <f>$F$37*I33</f>
        <v>21167.29</v>
      </c>
      <c r="J55" s="9">
        <f>$F$37*J33</f>
        <v>22013.98</v>
      </c>
      <c r="K55" s="9">
        <f>$F$37*K33</f>
        <v>22894.54</v>
      </c>
    </row>
    <row r="56" spans="1:11" ht="18" customHeight="1">
      <c r="A56" s="5" t="s">
        <v>65</v>
      </c>
      <c r="B56" s="9">
        <f>$F$38*B33</f>
        <v>34800.0</v>
      </c>
      <c r="C56" s="9">
        <f>$F$38*C33</f>
        <v>35844.0</v>
      </c>
      <c r="D56" s="9">
        <f>$F$38*D33</f>
        <v>36919.32</v>
      </c>
      <c r="E56" s="9">
        <f>$F$38*E33</f>
        <v>38026.9</v>
      </c>
      <c r="F56" s="9">
        <f>$F$38*F33</f>
        <v>39167.71</v>
      </c>
      <c r="G56" s="9">
        <f>$F$38*G33</f>
        <v>40538.58</v>
      </c>
      <c r="H56" s="9">
        <f>$F$38*H33</f>
        <v>42160.12</v>
      </c>
      <c r="I56" s="9">
        <f>$F$38*I33</f>
        <v>43846.52</v>
      </c>
      <c r="J56" s="9">
        <f>$F$38*J33</f>
        <v>45600.39</v>
      </c>
      <c r="K56" s="9">
        <f>$F$38*K33</f>
        <v>47424.4</v>
      </c>
    </row>
    <row r="57" spans="1:11" ht="18" customHeight="1">
      <c r="A57" s="5" t="s">
        <v>66</v>
      </c>
      <c r="B57" s="9">
        <f>$F$39*B33</f>
        <v>62400.0</v>
      </c>
      <c r="C57" s="9">
        <f>$F$39*C33</f>
        <v>64272.0</v>
      </c>
      <c r="D57" s="9">
        <f>$F$39*D33</f>
        <v>66200.16</v>
      </c>
      <c r="E57" s="9">
        <f>$F$39*E33</f>
        <v>68186.16</v>
      </c>
      <c r="F57" s="9">
        <f>$F$39*F33</f>
        <v>70231.75</v>
      </c>
      <c r="G57" s="9">
        <f>$F$39*G33</f>
        <v>72689.86</v>
      </c>
      <c r="H57" s="9">
        <f>$F$39*H33</f>
        <v>75597.46</v>
      </c>
      <c r="I57" s="9">
        <f>$F$39*I33</f>
        <v>78621.35</v>
      </c>
      <c r="J57" s="9">
        <f>$F$39*J33</f>
        <v>81766.21</v>
      </c>
      <c r="K57" s="9">
        <f>$F$39*K33</f>
        <v>85036.86</v>
      </c>
    </row>
    <row r="58" spans="1:11" ht="18" customHeight="1">
      <c r="A58" s="5" t="s">
        <v>67</v>
      </c>
      <c r="B58" s="9">
        <f>B15*B55</f>
        <v>0.0</v>
      </c>
      <c r="C58" s="9">
        <f>C15*C55</f>
        <v>0.0</v>
      </c>
      <c r="D58" s="9">
        <f>D15*D55</f>
        <v>0.0</v>
      </c>
      <c r="E58" s="9">
        <f>E15*E55</f>
        <v>0.0</v>
      </c>
      <c r="F58" s="9">
        <f>F15*F55</f>
        <v>0.0</v>
      </c>
      <c r="G58" s="9">
        <f>G15*G55</f>
        <v>9785.17</v>
      </c>
      <c r="H58" s="9">
        <f>H15*H55</f>
        <v>30529.74</v>
      </c>
      <c r="I58" s="9">
        <f>I15*I55</f>
        <v>52918.22</v>
      </c>
      <c r="J58" s="9">
        <f>J15*J55</f>
        <v>77048.93</v>
      </c>
      <c r="K58" s="9">
        <f>K15*K55</f>
        <v>103025.42</v>
      </c>
    </row>
    <row r="59" spans="1:11" ht="18" customHeight="1">
      <c r="A59" s="5" t="s">
        <v>68</v>
      </c>
      <c r="B59" s="9">
        <f>B16*B56</f>
        <v>0.0</v>
      </c>
      <c r="C59" s="9">
        <f>C16*C56</f>
        <v>0.0</v>
      </c>
      <c r="D59" s="9">
        <f>D16*D56</f>
        <v>36919.32</v>
      </c>
      <c r="E59" s="9">
        <f>E16*E56</f>
        <v>114080.7</v>
      </c>
      <c r="F59" s="9">
        <f>F16*F56</f>
        <v>215422.39</v>
      </c>
      <c r="G59" s="9">
        <f>G16*G56</f>
        <v>304039.32</v>
      </c>
      <c r="H59" s="9">
        <f>H16*H56</f>
        <v>379441.07</v>
      </c>
      <c r="I59" s="9">
        <f>I16*I56</f>
        <v>504235.03</v>
      </c>
      <c r="J59" s="9">
        <f>J16*J56</f>
        <v>661205.58</v>
      </c>
      <c r="K59" s="9">
        <f>K16*K56</f>
        <v>853639.21</v>
      </c>
    </row>
    <row r="60" spans="1:11" ht="18" customHeight="1">
      <c r="A60" s="5" t="s">
        <v>69</v>
      </c>
      <c r="B60" s="9">
        <f>B17*B57</f>
        <v>62400.0</v>
      </c>
      <c r="C60" s="9">
        <f>C17*C57</f>
        <v>192816.0</v>
      </c>
      <c r="D60" s="9">
        <f>D17*D57</f>
        <v>297900.72</v>
      </c>
      <c r="E60" s="9">
        <f>E17*E57</f>
        <v>375023.91</v>
      </c>
      <c r="F60" s="9">
        <f>F17*F57</f>
        <v>421390.5</v>
      </c>
      <c r="G60" s="9">
        <f>G17*G57</f>
        <v>508829.03</v>
      </c>
      <c r="H60" s="9">
        <f>H17*H57</f>
        <v>642578.37</v>
      </c>
      <c r="I60" s="9">
        <f>I17*I57</f>
        <v>707592.18</v>
      </c>
      <c r="J60" s="9">
        <f>J17*J57</f>
        <v>776778.97</v>
      </c>
      <c r="K60" s="9">
        <f>K17*K57</f>
        <v>850368.56</v>
      </c>
    </row>
    <row r="61" spans="1:11" ht="18" customHeight="1">
      <c r="A61" s="8" t="s">
        <v>70</v>
      </c>
      <c r="B61" s="8">
        <f>SUM(B58,B59,B60)</f>
        <v>62400.0</v>
      </c>
      <c r="C61" s="8">
        <f>SUM(C58,C59,C60)</f>
        <v>192816.0</v>
      </c>
      <c r="D61" s="8">
        <f>SUM(D58,D59,D60)</f>
        <v>334820.04</v>
      </c>
      <c r="E61" s="8">
        <f>SUM(E58,E59,E60)</f>
        <v>489104.61</v>
      </c>
      <c r="F61" s="8">
        <f>SUM(F58,F59,F60)</f>
        <v>636812.88</v>
      </c>
      <c r="G61" s="8">
        <f>SUM(G58,G59,G60)</f>
        <v>822653.52</v>
      </c>
      <c r="H61" s="8">
        <f>SUM(H58,H59,H60)</f>
        <v>1052549.19</v>
      </c>
      <c r="I61" s="8">
        <f>SUM(I58,I59,I60)</f>
        <v>1264745.43</v>
      </c>
      <c r="J61" s="8">
        <f>SUM(J58,J59,J60)</f>
        <v>1515033.48</v>
      </c>
      <c r="K61" s="8">
        <f>SUM(K58,K59,K60)</f>
        <v>1807033.19</v>
      </c>
    </row>
    <row r="63" spans="1:11" ht="20" customHeight="1">
      <c r="A63" s="3" t="s">
        <v>71</v>
      </c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1" ht="20" customHeight="1">
      <c r="A64" s="4" t="s">
        <v>3</v>
      </c>
      <c r="B64" s="4" t="s">
        <v>4</v>
      </c>
      <c r="C64" s="4" t="s">
        <v>5</v>
      </c>
      <c r="D64" s="4" t="s">
        <v>6</v>
      </c>
      <c r="E64" s="4" t="s">
        <v>7</v>
      </c>
      <c r="F64" s="4" t="s">
        <v>8</v>
      </c>
      <c r="G64" s="4" t="s">
        <v>9</v>
      </c>
      <c r="H64" s="4" t="s">
        <v>10</v>
      </c>
      <c r="I64" s="4" t="s">
        <v>11</v>
      </c>
      <c r="J64" s="4" t="s">
        <v>12</v>
      </c>
      <c r="K64" s="4" t="s">
        <v>13</v>
      </c>
    </row>
    <row r="65" spans="1:11" ht="18" customHeight="1">
      <c r="A65" s="5" t="s">
        <v>72</v>
      </c>
      <c r="B65" s="9">
        <f>IFERROR(B9/B8,0)</f>
        <v>222000.0</v>
      </c>
      <c r="C65" s="9">
        <f>IFERROR(C9/C8,0)</f>
        <v>228660.0</v>
      </c>
      <c r="D65" s="9">
        <f>IFERROR(D9/D8,0)</f>
        <v>159983.72</v>
      </c>
      <c r="E65" s="9">
        <f>IFERROR(E9/E8,0)</f>
        <v>164783.23</v>
      </c>
      <c r="F65" s="9">
        <f>IFERROR(F9/F8,0)</f>
        <v>129658.61</v>
      </c>
      <c r="G65" s="9">
        <f>IFERROR(G9/G8,0)</f>
        <v>179627.83</v>
      </c>
      <c r="H65" s="9">
        <f>IFERROR(H9/H8,0)</f>
        <v>154465.95</v>
      </c>
      <c r="I65" s="9">
        <f>IFERROR(I9/I8,0)</f>
        <v>127003.73</v>
      </c>
      <c r="J65" s="9">
        <f>IFERROR(J9/J8,0)</f>
        <v>163846.9</v>
      </c>
      <c r="K65" s="9">
        <f>IFERROR(K9/K8,0)</f>
        <v>141292.01</v>
      </c>
    </row>
    <row r="66" spans="1:11" ht="18" customHeight="1">
      <c r="A66" s="5" t="s">
        <v>73</v>
      </c>
      <c r="B66" s="9">
        <f>IFERROR(B18/SUM(B15:B17),0)</f>
        <v>62400.0</v>
      </c>
      <c r="C66" s="9">
        <f>IFERROR(C18/SUM(C15:C17),0)</f>
        <v>64272.0</v>
      </c>
      <c r="D66" s="9">
        <f>IFERROR(D18/SUM(D15:D17),0)</f>
        <v>60876.37</v>
      </c>
      <c r="E66" s="9">
        <f>IFERROR(E18/SUM(E15:E17),0)</f>
        <v>57541.72</v>
      </c>
      <c r="F66" s="9">
        <f>IFERROR(F18/SUM(F15:F17),0)</f>
        <v>55375.03</v>
      </c>
      <c r="G66" s="9">
        <f>IFERROR(G18/SUM(G15:G17),0)</f>
        <v>54843.57</v>
      </c>
      <c r="H66" s="9">
        <f>IFERROR(H18/SUM(H15:H17),0)</f>
        <v>55397.33</v>
      </c>
      <c r="I66" s="9">
        <f>IFERROR(I18/SUM(I15:I17),0)</f>
        <v>54988.93</v>
      </c>
      <c r="J66" s="9">
        <f>IFERROR(J18/SUM(J15:J17),0)</f>
        <v>55092.13</v>
      </c>
      <c r="K66" s="9">
        <f>IFERROR(K18/SUM(K15:K17),0)</f>
        <v>55601.02</v>
      </c>
    </row>
    <row r="68" spans="1:11" ht="18" customHeight="1">
      <c r="A68" s="4" t="s">
        <v>74</v>
      </c>
      <c r="B68" s="4" t="s">
        <v>75</v>
      </c>
    </row>
    <row r="69" spans="1:11" ht="18" customHeight="1">
      <c r="A69" s="5" t="s">
        <v>76</v>
      </c>
      <c r="B69" s="11">
        <v>0.4</v>
      </c>
    </row>
    <row r="70" spans="1:11" ht="18" customHeight="1">
      <c r="A70" s="5" t="s">
        <v>77</v>
      </c>
      <c r="B70" s="11">
        <f>1-B69</f>
        <v>0.6</v>
      </c>
    </row>
    <row r="71" spans="1:11" ht="18" customHeight="1">
      <c r="A71" s="5" t="s">
        <v>78</v>
      </c>
      <c r="B71" s="11">
        <v>0.8</v>
      </c>
    </row>
    <row r="72" spans="1:11" ht="18" customHeight="1">
      <c r="A72" s="5" t="s">
        <v>79</v>
      </c>
      <c r="B72" s="11">
        <f>1-B71</f>
        <v>0.19999999999999996</v>
      </c>
    </row>
    <row r="74" spans="1:11" ht="18" customHeight="1">
      <c r="A74" s="4" t="s">
        <v>80</v>
      </c>
      <c r="B74" s="4" t="s">
        <v>75</v>
      </c>
    </row>
    <row r="75" spans="1:11" ht="18" customHeight="1">
      <c r="A75" s="5" t="s">
        <v>81</v>
      </c>
      <c r="B75" s="11">
        <v>0.08</v>
      </c>
    </row>
    <row r="77" spans="1:11" ht="18" customHeight="1">
      <c r="A77" s="4" t="s">
        <v>82</v>
      </c>
      <c r="B77" s="4" t="s">
        <v>75</v>
      </c>
    </row>
    <row r="78" spans="1:11" ht="18" customHeight="1">
      <c r="A78" s="5" t="s">
        <v>83</v>
      </c>
      <c r="B78" s="11">
        <v>0.5</v>
      </c>
    </row>
  </sheetData>
  <mergeCells count="9">
    <mergeCell ref="A1:L1"/>
    <mergeCell ref="A2:K2"/>
    <mergeCell ref="A3:K3"/>
    <mergeCell ref="A12:K12"/>
    <mergeCell ref="A21:K21"/>
    <mergeCell ref="A30:K30"/>
    <mergeCell ref="A43:K43"/>
    <mergeCell ref="A53:K53"/>
    <mergeCell ref="A63:K63"/>
  </mergeCells>
  <pageMargins left="0.25" right="0.25" top="0.35" bottom="0.3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M145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8.7109375" customWidth="1"/>
    <col min="2" max="11" width="13.7109375" customWidth="1"/>
    <col min="12" max="12" width="42.7109375" customWidth="1"/>
    <col min="13" max="13" width="13.28515625" customWidth="1"/>
  </cols>
  <sheetData>
    <row r="1" spans="1:13" ht="22" customHeight="1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 ht="20" customHeight="1">
      <c r="A3" s="3" t="s">
        <v>85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3" ht="20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spans="1:13" ht="18" customHeight="1">
      <c r="A5" s="5" t="s">
        <v>86</v>
      </c>
      <c r="B5" s="9">
        <f>('INGRESOS'!B5*E$78+'INGRESOS'!B6*H$78+'INGRESOS'!B7*K$78)*'INGRESOS'!B33</f>
        <v>2400.0</v>
      </c>
      <c r="C5" s="9">
        <f>('INGRESOS'!C5*E$78+'INGRESOS'!C6*H$78+'INGRESOS'!C7*K$78)*'INGRESOS'!C33</f>
        <v>2472.0</v>
      </c>
      <c r="D5" s="9">
        <f>('INGRESOS'!D5*E$78+'INGRESOS'!D6*H$78+'INGRESOS'!D7*K$78)*'INGRESOS'!D33</f>
        <v>2673.47</v>
      </c>
      <c r="E5" s="9">
        <f>('INGRESOS'!E5*E$78+'INGRESOS'!E6*H$78+'INGRESOS'!E7*K$78)*'INGRESOS'!E33</f>
        <v>2753.67</v>
      </c>
      <c r="F5" s="9">
        <f>('INGRESOS'!F5*E$78+'INGRESOS'!F6*H$78+'INGRESOS'!F7*K$78)*'INGRESOS'!F33</f>
        <v>2228.51</v>
      </c>
      <c r="G5" s="9">
        <f>('INGRESOS'!G5*E$78+'INGRESOS'!G6*H$78+'INGRESOS'!G7*K$78)*'INGRESOS'!G33</f>
        <v>3914.07</v>
      </c>
      <c r="H5" s="9">
        <f>('INGRESOS'!H5*E$78+'INGRESOS'!H6*H$78+'INGRESOS'!H7*K$78)*'INGRESOS'!H33</f>
        <v>3416.42</v>
      </c>
      <c r="I5" s="9">
        <f>('INGRESOS'!I5*E$78+'INGRESOS'!I6*H$78+'INGRESOS'!I7*K$78)*'INGRESOS'!I33</f>
        <v>2872.7</v>
      </c>
      <c r="J5" s="9">
        <f>('INGRESOS'!J5*E$78+'INGRESOS'!J6*H$78+'INGRESOS'!J7*K$78)*'INGRESOS'!J33</f>
        <v>4560.04</v>
      </c>
      <c r="K5" s="9">
        <f>('INGRESOS'!K5*E$78+'INGRESOS'!K6*H$78+'INGRESOS'!K7*K$78)*'INGRESOS'!K33</f>
        <v>4006.54</v>
      </c>
    </row>
    <row r="6" spans="1:13" ht="18" customHeight="1">
      <c r="A6" s="5" t="s">
        <v>87</v>
      </c>
      <c r="B6" s="9">
        <f>('INGRESOS'!B5*E$79+'INGRESOS'!B6*H$79+'INGRESOS'!B7*K$79)*'INGRESOS'!B33</f>
        <v>280.0</v>
      </c>
      <c r="C6" s="9">
        <f>('INGRESOS'!C5*E$79+'INGRESOS'!C6*H$79+'INGRESOS'!C7*K$79)*'INGRESOS'!C33</f>
        <v>288.4</v>
      </c>
      <c r="D6" s="9">
        <f>('INGRESOS'!D5*E$79+'INGRESOS'!D6*H$79+'INGRESOS'!D7*K$79)*'INGRESOS'!D33</f>
        <v>311.9</v>
      </c>
      <c r="E6" s="9">
        <f>('INGRESOS'!E5*E$79+'INGRESOS'!E6*H$79+'INGRESOS'!E7*K$79)*'INGRESOS'!E33</f>
        <v>321.26</v>
      </c>
      <c r="F6" s="9">
        <f>('INGRESOS'!F5*E$79+'INGRESOS'!F6*H$79+'INGRESOS'!F7*K$79)*'INGRESOS'!F33</f>
        <v>259.99</v>
      </c>
      <c r="G6" s="9">
        <f>('INGRESOS'!G5*E$79+'INGRESOS'!G6*H$79+'INGRESOS'!G7*K$79)*'INGRESOS'!G33</f>
        <v>456.64</v>
      </c>
      <c r="H6" s="9">
        <f>('INGRESOS'!H5*E$79+'INGRESOS'!H6*H$79+'INGRESOS'!H7*K$79)*'INGRESOS'!H33</f>
        <v>398.58</v>
      </c>
      <c r="I6" s="9">
        <f>('INGRESOS'!I5*E$79+'INGRESOS'!I6*H$79+'INGRESOS'!I7*K$79)*'INGRESOS'!I33</f>
        <v>335.15</v>
      </c>
      <c r="J6" s="9">
        <f>('INGRESOS'!J5*E$79+'INGRESOS'!J6*H$79+'INGRESOS'!J7*K$79)*'INGRESOS'!J33</f>
        <v>532.0</v>
      </c>
      <c r="K6" s="9">
        <f>('INGRESOS'!K5*E$79+'INGRESOS'!K6*H$79+'INGRESOS'!K7*K$79)*'INGRESOS'!K33</f>
        <v>467.43</v>
      </c>
    </row>
    <row r="7" spans="1:13" ht="18" customHeight="1">
      <c r="A7" s="5" t="s">
        <v>88</v>
      </c>
      <c r="B7" s="9">
        <f>('INGRESOS'!B5*E$80+'INGRESOS'!B6*H$80+'INGRESOS'!B7*K$80)*'INGRESOS'!B33</f>
        <v>160.0</v>
      </c>
      <c r="C7" s="9">
        <f>('INGRESOS'!C5*E$80+'INGRESOS'!C6*H$80+'INGRESOS'!C7*K$80)*'INGRESOS'!C33</f>
        <v>164.8</v>
      </c>
      <c r="D7" s="9">
        <f>('INGRESOS'!D5*E$80+'INGRESOS'!D6*H$80+'INGRESOS'!D7*K$80)*'INGRESOS'!D33</f>
        <v>178.23</v>
      </c>
      <c r="E7" s="9">
        <f>('INGRESOS'!E5*E$80+'INGRESOS'!E6*H$80+'INGRESOS'!E7*K$80)*'INGRESOS'!E33</f>
        <v>183.58</v>
      </c>
      <c r="F7" s="9">
        <f>('INGRESOS'!F5*E$80+'INGRESOS'!F6*H$80+'INGRESOS'!F7*K$80)*'INGRESOS'!F33</f>
        <v>148.57</v>
      </c>
      <c r="G7" s="9">
        <f>('INGRESOS'!G5*E$80+'INGRESOS'!G6*H$80+'INGRESOS'!G7*K$80)*'INGRESOS'!G33</f>
        <v>260.94</v>
      </c>
      <c r="H7" s="9">
        <f>('INGRESOS'!H5*E$80+'INGRESOS'!H6*H$80+'INGRESOS'!H7*K$80)*'INGRESOS'!H33</f>
        <v>227.76</v>
      </c>
      <c r="I7" s="9">
        <f>('INGRESOS'!I5*E$80+'INGRESOS'!I6*H$80+'INGRESOS'!I7*K$80)*'INGRESOS'!I33</f>
        <v>191.51</v>
      </c>
      <c r="J7" s="9">
        <f>('INGRESOS'!J5*E$80+'INGRESOS'!J6*H$80+'INGRESOS'!J7*K$80)*'INGRESOS'!J33</f>
        <v>304.0</v>
      </c>
      <c r="K7" s="9">
        <f>('INGRESOS'!K5*E$80+'INGRESOS'!K6*H$80+'INGRESOS'!K7*K$80)*'INGRESOS'!K33</f>
        <v>267.1</v>
      </c>
    </row>
    <row r="8" spans="1:13" ht="18" customHeight="1">
      <c r="A8" s="5" t="s">
        <v>89</v>
      </c>
      <c r="B8" s="9">
        <f>('INGRESOS'!B5*E$81+'INGRESOS'!B6*H$81+'INGRESOS'!B7*K$81)*'INGRESOS'!B33</f>
        <v>2400.0</v>
      </c>
      <c r="C8" s="9">
        <f>('INGRESOS'!C5*E$81+'INGRESOS'!C6*H$81+'INGRESOS'!C7*K$81)*'INGRESOS'!C33</f>
        <v>2472.0</v>
      </c>
      <c r="D8" s="9">
        <f>('INGRESOS'!D5*E$81+'INGRESOS'!D6*H$81+'INGRESOS'!D7*K$81)*'INGRESOS'!D33</f>
        <v>2546.16</v>
      </c>
      <c r="E8" s="9">
        <f>('INGRESOS'!E5*E$81+'INGRESOS'!E6*H$81+'INGRESOS'!E7*K$81)*'INGRESOS'!E33</f>
        <v>2622.54</v>
      </c>
      <c r="F8" s="9">
        <f>('INGRESOS'!F5*E$81+'INGRESOS'!F6*H$81+'INGRESOS'!F7*K$81)*'INGRESOS'!F33</f>
        <v>2025.92</v>
      </c>
      <c r="G8" s="9">
        <f>('INGRESOS'!G5*E$81+'INGRESOS'!G6*H$81+'INGRESOS'!G7*K$81)*'INGRESOS'!G33</f>
        <v>3494.7</v>
      </c>
      <c r="H8" s="9">
        <f>('INGRESOS'!H5*E$81+'INGRESOS'!H6*H$81+'INGRESOS'!H7*K$81)*'INGRESOS'!H33</f>
        <v>2907.59</v>
      </c>
      <c r="I8" s="9">
        <f>('INGRESOS'!I5*E$81+'INGRESOS'!I6*H$81+'INGRESOS'!I7*K$81)*'INGRESOS'!I33</f>
        <v>2267.92</v>
      </c>
      <c r="J8" s="9">
        <f>('INGRESOS'!J5*E$81+'INGRESOS'!J6*H$81+'INGRESOS'!J7*K$81)*'INGRESOS'!J33</f>
        <v>3931.07</v>
      </c>
      <c r="K8" s="9">
        <f>('INGRESOS'!K5*E$81+'INGRESOS'!K6*H$81+'INGRESOS'!K7*K$81)*'INGRESOS'!K33</f>
        <v>3270.65</v>
      </c>
    </row>
    <row r="9" spans="1:13" ht="18" customHeight="1">
      <c r="A9" s="5" t="s">
        <v>90</v>
      </c>
      <c r="B9" s="9">
        <f>('INGRESOS'!B5*E$82+'INGRESOS'!B6*H$82+'INGRESOS'!B7*K$82)*'INGRESOS'!B33</f>
        <v>300.0</v>
      </c>
      <c r="C9" s="9">
        <f>('INGRESOS'!C5*E$82+'INGRESOS'!C6*H$82+'INGRESOS'!C7*K$82)*'INGRESOS'!C33</f>
        <v>309.0</v>
      </c>
      <c r="D9" s="9">
        <f>('INGRESOS'!D5*E$82+'INGRESOS'!D6*H$82+'INGRESOS'!D7*K$82)*'INGRESOS'!D33</f>
        <v>318.27</v>
      </c>
      <c r="E9" s="9">
        <f>('INGRESOS'!E5*E$82+'INGRESOS'!E6*H$82+'INGRESOS'!E7*K$82)*'INGRESOS'!E33</f>
        <v>327.82</v>
      </c>
      <c r="F9" s="9">
        <f>('INGRESOS'!F5*E$82+'INGRESOS'!F6*H$82+'INGRESOS'!F7*K$82)*'INGRESOS'!F33</f>
        <v>253.24</v>
      </c>
      <c r="G9" s="9">
        <f>('INGRESOS'!G5*E$82+'INGRESOS'!G6*H$82+'INGRESOS'!G7*K$82)*'INGRESOS'!G33</f>
        <v>436.84</v>
      </c>
      <c r="H9" s="9">
        <f>('INGRESOS'!H5*E$82+'INGRESOS'!H6*H$82+'INGRESOS'!H7*K$82)*'INGRESOS'!H33</f>
        <v>363.45</v>
      </c>
      <c r="I9" s="9">
        <f>('INGRESOS'!I5*E$82+'INGRESOS'!I6*H$82+'INGRESOS'!I7*K$82)*'INGRESOS'!I33</f>
        <v>283.49</v>
      </c>
      <c r="J9" s="9">
        <f>('INGRESOS'!J5*E$82+'INGRESOS'!J6*H$82+'INGRESOS'!J7*K$82)*'INGRESOS'!J33</f>
        <v>491.38</v>
      </c>
      <c r="K9" s="9">
        <f>('INGRESOS'!K5*E$82+'INGRESOS'!K6*H$82+'INGRESOS'!K7*K$82)*'INGRESOS'!K33</f>
        <v>408.83</v>
      </c>
    </row>
    <row r="10" spans="1:13" ht="18" customHeight="1">
      <c r="A10" s="5" t="s">
        <v>91</v>
      </c>
      <c r="B10" s="9">
        <f>('INGRESOS'!B5*E$83+'INGRESOS'!B6*H$83+'INGRESOS'!B7*K$83)*'INGRESOS'!B33</f>
        <v>120.0</v>
      </c>
      <c r="C10" s="9">
        <f>('INGRESOS'!C5*E$83+'INGRESOS'!C6*H$83+'INGRESOS'!C7*K$83)*'INGRESOS'!C33</f>
        <v>123.6</v>
      </c>
      <c r="D10" s="9">
        <f>('INGRESOS'!D5*E$83+'INGRESOS'!D6*H$83+'INGRESOS'!D7*K$83)*'INGRESOS'!D33</f>
        <v>127.31</v>
      </c>
      <c r="E10" s="9">
        <f>('INGRESOS'!E5*E$83+'INGRESOS'!E6*H$83+'INGRESOS'!E7*K$83)*'INGRESOS'!E33</f>
        <v>131.13</v>
      </c>
      <c r="F10" s="9">
        <f>('INGRESOS'!F5*E$83+'INGRESOS'!F6*H$83+'INGRESOS'!F7*K$83)*'INGRESOS'!F33</f>
        <v>101.3</v>
      </c>
      <c r="G10" s="9">
        <f>('INGRESOS'!G5*E$83+'INGRESOS'!G6*H$83+'INGRESOS'!G7*K$83)*'INGRESOS'!G33</f>
        <v>174.74</v>
      </c>
      <c r="H10" s="9">
        <f>('INGRESOS'!H5*E$83+'INGRESOS'!H6*H$83+'INGRESOS'!H7*K$83)*'INGRESOS'!H33</f>
        <v>145.38</v>
      </c>
      <c r="I10" s="9">
        <f>('INGRESOS'!I5*E$83+'INGRESOS'!I6*H$83+'INGRESOS'!I7*K$83)*'INGRESOS'!I33</f>
        <v>113.4</v>
      </c>
      <c r="J10" s="9">
        <f>('INGRESOS'!J5*E$83+'INGRESOS'!J6*H$83+'INGRESOS'!J7*K$83)*'INGRESOS'!J33</f>
        <v>196.55</v>
      </c>
      <c r="K10" s="9">
        <f>('INGRESOS'!K5*E$83+'INGRESOS'!K6*H$83+'INGRESOS'!K7*K$83)*'INGRESOS'!K33</f>
        <v>163.53</v>
      </c>
    </row>
    <row r="11" spans="1:13" ht="18" customHeight="1">
      <c r="A11" s="5" t="s">
        <v>92</v>
      </c>
      <c r="B11" s="9">
        <f>('INGRESOS'!B5*E$84+'INGRESOS'!B6*H$84+'INGRESOS'!B7*K$84)*'INGRESOS'!B33</f>
        <v>120.0</v>
      </c>
      <c r="C11" s="9">
        <f>('INGRESOS'!C5*E$84+'INGRESOS'!C6*H$84+'INGRESOS'!C7*K$84)*'INGRESOS'!C33</f>
        <v>123.6</v>
      </c>
      <c r="D11" s="9">
        <f>('INGRESOS'!D5*E$84+'INGRESOS'!D6*H$84+'INGRESOS'!D7*K$84)*'INGRESOS'!D33</f>
        <v>127.31</v>
      </c>
      <c r="E11" s="9">
        <f>('INGRESOS'!E5*E$84+'INGRESOS'!E6*H$84+'INGRESOS'!E7*K$84)*'INGRESOS'!E33</f>
        <v>131.13</v>
      </c>
      <c r="F11" s="9">
        <f>('INGRESOS'!F5*E$84+'INGRESOS'!F6*H$84+'INGRESOS'!F7*K$84)*'INGRESOS'!F33</f>
        <v>101.3</v>
      </c>
      <c r="G11" s="9">
        <f>('INGRESOS'!G5*E$84+'INGRESOS'!G6*H$84+'INGRESOS'!G7*K$84)*'INGRESOS'!G33</f>
        <v>174.74</v>
      </c>
      <c r="H11" s="9">
        <f>('INGRESOS'!H5*E$84+'INGRESOS'!H6*H$84+'INGRESOS'!H7*K$84)*'INGRESOS'!H33</f>
        <v>145.38</v>
      </c>
      <c r="I11" s="9">
        <f>('INGRESOS'!I5*E$84+'INGRESOS'!I6*H$84+'INGRESOS'!I7*K$84)*'INGRESOS'!I33</f>
        <v>113.4</v>
      </c>
      <c r="J11" s="9">
        <f>('INGRESOS'!J5*E$84+'INGRESOS'!J6*H$84+'INGRESOS'!J7*K$84)*'INGRESOS'!J33</f>
        <v>196.55</v>
      </c>
      <c r="K11" s="9">
        <f>('INGRESOS'!K5*E$84+'INGRESOS'!K6*H$84+'INGRESOS'!K7*K$84)*'INGRESOS'!K33</f>
        <v>163.53</v>
      </c>
    </row>
    <row r="12" spans="1:13" ht="18" customHeight="1">
      <c r="A12" s="5" t="s">
        <v>93</v>
      </c>
      <c r="B12" s="9">
        <f>('INGRESOS'!B5*E$85+'INGRESOS'!B6*H$85+'INGRESOS'!B7*K$85)*'INGRESOS'!B33</f>
        <v>600.0</v>
      </c>
      <c r="C12" s="9">
        <f>('INGRESOS'!C5*E$85+'INGRESOS'!C6*H$85+'INGRESOS'!C7*K$85)*'INGRESOS'!C33</f>
        <v>618.0</v>
      </c>
      <c r="D12" s="9">
        <f>('INGRESOS'!D5*E$85+'INGRESOS'!D6*H$85+'INGRESOS'!D7*K$85)*'INGRESOS'!D33</f>
        <v>742.63</v>
      </c>
      <c r="E12" s="9">
        <f>('INGRESOS'!E5*E$85+'INGRESOS'!E6*H$85+'INGRESOS'!E7*K$85)*'INGRESOS'!E33</f>
        <v>764.91</v>
      </c>
      <c r="F12" s="9">
        <f>('INGRESOS'!F5*E$85+'INGRESOS'!F6*H$85+'INGRESOS'!F7*K$85)*'INGRESOS'!F33</f>
        <v>675.31</v>
      </c>
      <c r="G12" s="9">
        <f>('INGRESOS'!G5*E$85+'INGRESOS'!G6*H$85+'INGRESOS'!G7*K$85)*'INGRESOS'!G33</f>
        <v>1048.41</v>
      </c>
      <c r="H12" s="9">
        <f>('INGRESOS'!H5*E$85+'INGRESOS'!H6*H$85+'INGRESOS'!H7*K$85)*'INGRESOS'!H33</f>
        <v>969.2</v>
      </c>
      <c r="I12" s="9">
        <f>('INGRESOS'!I5*E$85+'INGRESOS'!I6*H$85+'INGRESOS'!I7*K$85)*'INGRESOS'!I33</f>
        <v>881.97</v>
      </c>
      <c r="J12" s="9">
        <f>('INGRESOS'!J5*E$85+'INGRESOS'!J6*H$85+'INGRESOS'!J7*K$85)*'INGRESOS'!J33</f>
        <v>1310.36</v>
      </c>
      <c r="K12" s="9">
        <f>('INGRESOS'!K5*E$85+'INGRESOS'!K6*H$85+'INGRESOS'!K7*K$85)*'INGRESOS'!K33</f>
        <v>1226.49</v>
      </c>
    </row>
    <row r="13" spans="1:13" ht="18" customHeight="1">
      <c r="A13" s="5" t="s">
        <v>94</v>
      </c>
      <c r="B13" s="9">
        <f>('INGRESOS'!B5*E$86+'INGRESOS'!B6*H$86+'INGRESOS'!B7*K$86)*'INGRESOS'!B33</f>
        <v>2880.0</v>
      </c>
      <c r="C13" s="9">
        <f>('INGRESOS'!C5*E$86+'INGRESOS'!C6*H$86+'INGRESOS'!C7*K$86)*'INGRESOS'!C33</f>
        <v>2966.4</v>
      </c>
      <c r="D13" s="9">
        <f>('INGRESOS'!D5*E$86+'INGRESOS'!D6*H$86+'INGRESOS'!D7*K$86)*'INGRESOS'!D33</f>
        <v>3225.14</v>
      </c>
      <c r="E13" s="9">
        <f>('INGRESOS'!E5*E$86+'INGRESOS'!E6*H$86+'INGRESOS'!E7*K$86)*'INGRESOS'!E33</f>
        <v>3321.89</v>
      </c>
      <c r="F13" s="9">
        <f>('INGRESOS'!F5*E$86+'INGRESOS'!F6*H$86+'INGRESOS'!F7*K$86)*'INGRESOS'!F33</f>
        <v>2701.22</v>
      </c>
      <c r="G13" s="9">
        <f>('INGRESOS'!G5*E$86+'INGRESOS'!G6*H$86+'INGRESOS'!G7*K$86)*'INGRESOS'!G33</f>
        <v>4752.8</v>
      </c>
      <c r="H13" s="9">
        <f>('INGRESOS'!H5*E$86+'INGRESOS'!H6*H$86+'INGRESOS'!H7*K$86)*'INGRESOS'!H33</f>
        <v>4167.55</v>
      </c>
      <c r="I13" s="9">
        <f>('INGRESOS'!I5*E$86+'INGRESOS'!I6*H$86+'INGRESOS'!I7*K$86)*'INGRESOS'!I33</f>
        <v>3527.88</v>
      </c>
      <c r="J13" s="9">
        <f>('INGRESOS'!J5*E$86+'INGRESOS'!J6*H$86+'INGRESOS'!J7*K$86)*'INGRESOS'!J33</f>
        <v>5555.91</v>
      </c>
      <c r="K13" s="9">
        <f>('INGRESOS'!K5*E$86+'INGRESOS'!K6*H$86+'INGRESOS'!K7*K$86)*'INGRESOS'!K33</f>
        <v>4905.97</v>
      </c>
    </row>
    <row r="14" spans="1:13" ht="18" customHeight="1">
      <c r="A14" s="5" t="s">
        <v>95</v>
      </c>
      <c r="B14" s="9">
        <f>('INGRESOS'!B5*E$87+'INGRESOS'!B6*H$87+'INGRESOS'!B7*K$87)*'INGRESOS'!B33</f>
        <v>16000.0</v>
      </c>
      <c r="C14" s="9">
        <f>('INGRESOS'!C5*E$87+'INGRESOS'!C6*H$87+'INGRESOS'!C7*K$87)*'INGRESOS'!C33</f>
        <v>16480.0</v>
      </c>
      <c r="D14" s="9">
        <f>('INGRESOS'!D5*E$87+'INGRESOS'!D6*H$87+'INGRESOS'!D7*K$87)*'INGRESOS'!D33</f>
        <v>16974.4</v>
      </c>
      <c r="E14" s="9">
        <f>('INGRESOS'!E5*E$87+'INGRESOS'!E6*H$87+'INGRESOS'!E7*K$87)*'INGRESOS'!E33</f>
        <v>17483.63</v>
      </c>
      <c r="F14" s="9">
        <f>('INGRESOS'!F5*E$87+'INGRESOS'!F6*H$87+'INGRESOS'!F7*K$87)*'INGRESOS'!F33</f>
        <v>13506.11</v>
      </c>
      <c r="G14" s="9">
        <f>('INGRESOS'!G5*E$87+'INGRESOS'!G6*H$87+'INGRESOS'!G7*K$87)*'INGRESOS'!G33</f>
        <v>25627.84</v>
      </c>
      <c r="H14" s="9">
        <f>('INGRESOS'!H5*E$87+'INGRESOS'!H6*H$87+'INGRESOS'!H7*K$87)*'INGRESOS'!H33</f>
        <v>21806.96</v>
      </c>
      <c r="I14" s="9">
        <f>('INGRESOS'!I5*E$87+'INGRESOS'!I6*H$87+'INGRESOS'!I7*K$87)*'INGRESOS'!I33</f>
        <v>17639.41</v>
      </c>
      <c r="J14" s="9">
        <f>('INGRESOS'!J5*E$87+'INGRESOS'!J6*H$87+'INGRESOS'!J7*K$87)*'INGRESOS'!J33</f>
        <v>28827.83</v>
      </c>
      <c r="K14" s="9">
        <f>('INGRESOS'!K5*E$87+'INGRESOS'!K6*H$87+'INGRESOS'!K7*K$87)*'INGRESOS'!K33</f>
        <v>24529.86</v>
      </c>
    </row>
    <row r="15" spans="1:13" ht="18" customHeight="1">
      <c r="A15" s="5" t="s">
        <v>96</v>
      </c>
      <c r="B15" s="9">
        <f>('INGRESOS'!B5*E$88+'INGRESOS'!B6*H$88+'INGRESOS'!B7*K$88)*'INGRESOS'!B33</f>
        <v>12000.0</v>
      </c>
      <c r="C15" s="9">
        <f>('INGRESOS'!C5*E$88+'INGRESOS'!C6*H$88+'INGRESOS'!C7*K$88)*'INGRESOS'!C33</f>
        <v>12360.0</v>
      </c>
      <c r="D15" s="9">
        <f>('INGRESOS'!D5*E$88+'INGRESOS'!D6*H$88+'INGRESOS'!D7*K$88)*'INGRESOS'!D33</f>
        <v>12730.8</v>
      </c>
      <c r="E15" s="9">
        <f>('INGRESOS'!E5*E$88+'INGRESOS'!E6*H$88+'INGRESOS'!E7*K$88)*'INGRESOS'!E33</f>
        <v>13112.72</v>
      </c>
      <c r="F15" s="9">
        <f>('INGRESOS'!F5*E$88+'INGRESOS'!F6*H$88+'INGRESOS'!F7*K$88)*'INGRESOS'!F33</f>
        <v>10129.58</v>
      </c>
      <c r="G15" s="9">
        <f>('INGRESOS'!G5*E$88+'INGRESOS'!G6*H$88+'INGRESOS'!G7*K$88)*'INGRESOS'!G33</f>
        <v>19220.88</v>
      </c>
      <c r="H15" s="9">
        <f>('INGRESOS'!H5*E$88+'INGRESOS'!H6*H$88+'INGRESOS'!H7*K$88)*'INGRESOS'!H33</f>
        <v>16355.22</v>
      </c>
      <c r="I15" s="9">
        <f>('INGRESOS'!I5*E$88+'INGRESOS'!I6*H$88+'INGRESOS'!I7*K$88)*'INGRESOS'!I33</f>
        <v>13229.55</v>
      </c>
      <c r="J15" s="9">
        <f>('INGRESOS'!J5*E$88+'INGRESOS'!J6*H$88+'INGRESOS'!J7*K$88)*'INGRESOS'!J33</f>
        <v>21620.87</v>
      </c>
      <c r="K15" s="9">
        <f>('INGRESOS'!K5*E$88+'INGRESOS'!K6*H$88+'INGRESOS'!K7*K$88)*'INGRESOS'!K33</f>
        <v>18397.4</v>
      </c>
    </row>
    <row r="16" spans="1:13" ht="18" customHeight="1">
      <c r="A16" s="5" t="s">
        <v>97</v>
      </c>
      <c r="B16" s="9">
        <f>('INGRESOS'!B5*E$89+'INGRESOS'!B6*H$89+'INGRESOS'!B7*K$89)*'INGRESOS'!B33</f>
        <v>12000.0</v>
      </c>
      <c r="C16" s="9">
        <f>('INGRESOS'!C5*E$89+'INGRESOS'!C6*H$89+'INGRESOS'!C7*K$89)*'INGRESOS'!C33</f>
        <v>12360.0</v>
      </c>
      <c r="D16" s="9">
        <f>('INGRESOS'!D5*E$89+'INGRESOS'!D6*H$89+'INGRESOS'!D7*K$89)*'INGRESOS'!D33</f>
        <v>12730.8</v>
      </c>
      <c r="E16" s="9">
        <f>('INGRESOS'!E5*E$89+'INGRESOS'!E6*H$89+'INGRESOS'!E7*K$89)*'INGRESOS'!E33</f>
        <v>13112.72</v>
      </c>
      <c r="F16" s="9">
        <f>('INGRESOS'!F5*E$89+'INGRESOS'!F6*H$89+'INGRESOS'!F7*K$89)*'INGRESOS'!F33</f>
        <v>10129.58</v>
      </c>
      <c r="G16" s="9">
        <f>('INGRESOS'!G5*E$89+'INGRESOS'!G6*H$89+'INGRESOS'!G7*K$89)*'INGRESOS'!G33</f>
        <v>19220.88</v>
      </c>
      <c r="H16" s="9">
        <f>('INGRESOS'!H5*E$89+'INGRESOS'!H6*H$89+'INGRESOS'!H7*K$89)*'INGRESOS'!H33</f>
        <v>16355.22</v>
      </c>
      <c r="I16" s="9">
        <f>('INGRESOS'!I5*E$89+'INGRESOS'!I6*H$89+'INGRESOS'!I7*K$89)*'INGRESOS'!I33</f>
        <v>13229.55</v>
      </c>
      <c r="J16" s="9">
        <f>('INGRESOS'!J5*E$89+'INGRESOS'!J6*H$89+'INGRESOS'!J7*K$89)*'INGRESOS'!J33</f>
        <v>21620.87</v>
      </c>
      <c r="K16" s="9">
        <f>('INGRESOS'!K5*E$89+'INGRESOS'!K6*H$89+'INGRESOS'!K7*K$89)*'INGRESOS'!K33</f>
        <v>18397.4</v>
      </c>
    </row>
    <row r="17" spans="1:11" ht="18" customHeight="1">
      <c r="A17" s="5" t="s">
        <v>98</v>
      </c>
      <c r="B17" s="9">
        <f>('INGRESOS'!B5*E$90+'INGRESOS'!B6*H$90+'INGRESOS'!B7*K$90)*'INGRESOS'!B33</f>
        <v>30000.0</v>
      </c>
      <c r="C17" s="9">
        <f>('INGRESOS'!C5*E$90+'INGRESOS'!C6*H$90+'INGRESOS'!C7*K$90)*'INGRESOS'!C33</f>
        <v>30900.0</v>
      </c>
      <c r="D17" s="9">
        <f>('INGRESOS'!D5*E$90+'INGRESOS'!D6*H$90+'INGRESOS'!D7*K$90)*'INGRESOS'!D33</f>
        <v>32887.9</v>
      </c>
      <c r="E17" s="9">
        <f>('INGRESOS'!E5*E$90+'INGRESOS'!E6*H$90+'INGRESOS'!E7*K$90)*'INGRESOS'!E33</f>
        <v>33874.54</v>
      </c>
      <c r="F17" s="9">
        <f>('INGRESOS'!F5*E$90+'INGRESOS'!F6*H$90+'INGRESOS'!F7*K$90)*'INGRESOS'!F33</f>
        <v>27012.21</v>
      </c>
      <c r="G17" s="9">
        <f>('INGRESOS'!G5*E$90+'INGRESOS'!G6*H$90+'INGRESOS'!G7*K$90)*'INGRESOS'!G33</f>
        <v>48925.87</v>
      </c>
      <c r="H17" s="9">
        <f>('INGRESOS'!H5*E$90+'INGRESOS'!H6*H$90+'INGRESOS'!H7*K$90)*'INGRESOS'!H33</f>
        <v>42402.42</v>
      </c>
      <c r="I17" s="9">
        <f>('INGRESOS'!I5*E$90+'INGRESOS'!I6*H$90+'INGRESOS'!I7*K$90)*'INGRESOS'!I33</f>
        <v>35278.81</v>
      </c>
      <c r="J17" s="9">
        <f>('INGRESOS'!J5*E$90+'INGRESOS'!J6*H$90+'INGRESOS'!J7*K$90)*'INGRESOS'!J33</f>
        <v>56345.3</v>
      </c>
      <c r="K17" s="9">
        <f>('INGRESOS'!K5*E$90+'INGRESOS'!K6*H$90+'INGRESOS'!K7*K$90)*'INGRESOS'!K33</f>
        <v>49059.72</v>
      </c>
    </row>
    <row r="18" spans="1:11" ht="18" customHeight="1">
      <c r="A18" s="5" t="s">
        <v>99</v>
      </c>
      <c r="B18" s="9">
        <f>('INGRESOS'!B5*E$91+'INGRESOS'!B6*H$91+'INGRESOS'!B7*K$91)*'INGRESOS'!B33</f>
        <v>44000.0</v>
      </c>
      <c r="C18" s="9">
        <f>('INGRESOS'!C5*E$91+'INGRESOS'!C6*H$91+'INGRESOS'!C7*K$91)*'INGRESOS'!C33</f>
        <v>45320.0</v>
      </c>
      <c r="D18" s="9">
        <f>('INGRESOS'!D5*E$91+'INGRESOS'!D6*H$91+'INGRESOS'!D7*K$91)*'INGRESOS'!D33</f>
        <v>48801.4</v>
      </c>
      <c r="E18" s="9">
        <f>('INGRESOS'!E5*E$91+'INGRESOS'!E6*H$91+'INGRESOS'!E7*K$91)*'INGRESOS'!E33</f>
        <v>50265.44</v>
      </c>
      <c r="F18" s="9">
        <f>('INGRESOS'!F5*E$91+'INGRESOS'!F6*H$91+'INGRESOS'!F7*K$91)*'INGRESOS'!F33</f>
        <v>40518.32</v>
      </c>
      <c r="G18" s="9">
        <f>('INGRESOS'!G5*E$91+'INGRESOS'!G6*H$91+'INGRESOS'!G7*K$91)*'INGRESOS'!G33</f>
        <v>72223.9</v>
      </c>
      <c r="H18" s="9">
        <f>('INGRESOS'!H5*E$91+'INGRESOS'!H6*H$91+'INGRESOS'!H7*K$91)*'INGRESOS'!H33</f>
        <v>62997.88</v>
      </c>
      <c r="I18" s="9">
        <f>('INGRESOS'!I5*E$91+'INGRESOS'!I6*H$91+'INGRESOS'!I7*K$91)*'INGRESOS'!I33</f>
        <v>52918.22</v>
      </c>
      <c r="J18" s="9">
        <f>('INGRESOS'!J5*E$91+'INGRESOS'!J6*H$91+'INGRESOS'!J7*K$91)*'INGRESOS'!J33</f>
        <v>83862.78</v>
      </c>
      <c r="K18" s="9">
        <f>('INGRESOS'!K5*E$91+'INGRESOS'!K6*H$91+'INGRESOS'!K7*K$91)*'INGRESOS'!K33</f>
        <v>73589.59</v>
      </c>
    </row>
    <row r="19" spans="1:11" ht="18" customHeight="1">
      <c r="A19" s="5" t="s">
        <v>100</v>
      </c>
      <c r="B19" s="9">
        <f>('INGRESOS'!B5*E$92+'INGRESOS'!B6*H$92+'INGRESOS'!B7*K$92)*'INGRESOS'!B33</f>
        <v>16000.0</v>
      </c>
      <c r="C19" s="9">
        <f>('INGRESOS'!C5*E$92+'INGRESOS'!C6*H$92+'INGRESOS'!C7*K$92)*'INGRESOS'!C33</f>
        <v>16480.0</v>
      </c>
      <c r="D19" s="9">
        <f>('INGRESOS'!D5*E$92+'INGRESOS'!D6*H$92+'INGRESOS'!D7*K$92)*'INGRESOS'!D33</f>
        <v>16974.4</v>
      </c>
      <c r="E19" s="9">
        <f>('INGRESOS'!E5*E$92+'INGRESOS'!E6*H$92+'INGRESOS'!E7*K$92)*'INGRESOS'!E33</f>
        <v>17483.63</v>
      </c>
      <c r="F19" s="9">
        <f>('INGRESOS'!F5*E$92+'INGRESOS'!F6*H$92+'INGRESOS'!F7*K$92)*'INGRESOS'!F33</f>
        <v>13506.11</v>
      </c>
      <c r="G19" s="9">
        <f>('INGRESOS'!G5*E$92+'INGRESOS'!G6*H$92+'INGRESOS'!G7*K$92)*'INGRESOS'!G33</f>
        <v>25627.84</v>
      </c>
      <c r="H19" s="9">
        <f>('INGRESOS'!H5*E$92+'INGRESOS'!H6*H$92+'INGRESOS'!H7*K$92)*'INGRESOS'!H33</f>
        <v>21806.96</v>
      </c>
      <c r="I19" s="9">
        <f>('INGRESOS'!I5*E$92+'INGRESOS'!I6*H$92+'INGRESOS'!I7*K$92)*'INGRESOS'!I33</f>
        <v>17639.41</v>
      </c>
      <c r="J19" s="9">
        <f>('INGRESOS'!J5*E$92+'INGRESOS'!J6*H$92+'INGRESOS'!J7*K$92)*'INGRESOS'!J33</f>
        <v>28827.83</v>
      </c>
      <c r="K19" s="9">
        <f>('INGRESOS'!K5*E$92+'INGRESOS'!K6*H$92+'INGRESOS'!K7*K$92)*'INGRESOS'!K33</f>
        <v>24529.86</v>
      </c>
    </row>
    <row r="20" spans="1:11" ht="18" customHeight="1">
      <c r="A20" s="5" t="s">
        <v>101</v>
      </c>
      <c r="B20" s="9">
        <f>('INGRESOS'!B5*E$93+'INGRESOS'!B6*H$93+'INGRESOS'!B7*K$93)*'INGRESOS'!B33</f>
        <v>12000.0</v>
      </c>
      <c r="C20" s="9">
        <f>('INGRESOS'!C5*E$93+'INGRESOS'!C6*H$93+'INGRESOS'!C7*K$93)*'INGRESOS'!C33</f>
        <v>12360.0</v>
      </c>
      <c r="D20" s="9">
        <f>('INGRESOS'!D5*E$93+'INGRESOS'!D6*H$93+'INGRESOS'!D7*K$93)*'INGRESOS'!D33</f>
        <v>13155.16</v>
      </c>
      <c r="E20" s="9">
        <f>('INGRESOS'!E5*E$93+'INGRESOS'!E6*H$93+'INGRESOS'!E7*K$93)*'INGRESOS'!E33</f>
        <v>13549.81</v>
      </c>
      <c r="F20" s="9">
        <f>('INGRESOS'!F5*E$93+'INGRESOS'!F6*H$93+'INGRESOS'!F7*K$93)*'INGRESOS'!F33</f>
        <v>10804.88</v>
      </c>
      <c r="G20" s="9">
        <f>('INGRESOS'!G5*E$93+'INGRESOS'!G6*H$93+'INGRESOS'!G7*K$93)*'INGRESOS'!G33</f>
        <v>19570.35</v>
      </c>
      <c r="H20" s="9">
        <f>('INGRESOS'!H5*E$93+'INGRESOS'!H6*H$93+'INGRESOS'!H7*K$93)*'INGRESOS'!H33</f>
        <v>16960.97</v>
      </c>
      <c r="I20" s="9">
        <f>('INGRESOS'!I5*E$93+'INGRESOS'!I6*H$93+'INGRESOS'!I7*K$93)*'INGRESOS'!I33</f>
        <v>14111.53</v>
      </c>
      <c r="J20" s="9">
        <f>('INGRESOS'!J5*E$93+'INGRESOS'!J6*H$93+'INGRESOS'!J7*K$93)*'INGRESOS'!J33</f>
        <v>22538.12</v>
      </c>
      <c r="K20" s="9">
        <f>('INGRESOS'!K5*E$93+'INGRESOS'!K6*H$93+'INGRESOS'!K7*K$93)*'INGRESOS'!K33</f>
        <v>19623.89</v>
      </c>
    </row>
    <row r="21" spans="1:11" ht="18" customHeight="1">
      <c r="A21" s="5" t="s">
        <v>102</v>
      </c>
      <c r="B21" s="9">
        <f>('INGRESOS'!B5*E$94+'INGRESOS'!B6*H$94+'INGRESOS'!B7*K$94)*'INGRESOS'!B33</f>
        <v>8000.0</v>
      </c>
      <c r="C21" s="9">
        <f>('INGRESOS'!C5*E$94+'INGRESOS'!C6*H$94+'INGRESOS'!C7*K$94)*'INGRESOS'!C33</f>
        <v>8240.0</v>
      </c>
      <c r="D21" s="9">
        <f>('INGRESOS'!D5*E$94+'INGRESOS'!D6*H$94+'INGRESOS'!D7*K$94)*'INGRESOS'!D33</f>
        <v>9335.92</v>
      </c>
      <c r="E21" s="9">
        <f>('INGRESOS'!E5*E$94+'INGRESOS'!E6*H$94+'INGRESOS'!E7*K$94)*'INGRESOS'!E33</f>
        <v>9616.0</v>
      </c>
      <c r="F21" s="9">
        <f>('INGRESOS'!F5*E$94+'INGRESOS'!F6*H$94+'INGRESOS'!F7*K$94)*'INGRESOS'!F33</f>
        <v>8103.66</v>
      </c>
      <c r="G21" s="9">
        <f>('INGRESOS'!G5*E$94+'INGRESOS'!G6*H$94+'INGRESOS'!G7*K$94)*'INGRESOS'!G33</f>
        <v>13512.86</v>
      </c>
      <c r="H21" s="9">
        <f>('INGRESOS'!H5*E$94+'INGRESOS'!H6*H$94+'INGRESOS'!H7*K$94)*'INGRESOS'!H33</f>
        <v>12114.98</v>
      </c>
      <c r="I21" s="9">
        <f>('INGRESOS'!I5*E$94+'INGRESOS'!I6*H$94+'INGRESOS'!I7*K$94)*'INGRESOS'!I33</f>
        <v>10583.64</v>
      </c>
      <c r="J21" s="9">
        <f>('INGRESOS'!J5*E$94+'INGRESOS'!J6*H$94+'INGRESOS'!J7*K$94)*'INGRESOS'!J33</f>
        <v>16248.41</v>
      </c>
      <c r="K21" s="9">
        <f>('INGRESOS'!K5*E$94+'INGRESOS'!K6*H$94+'INGRESOS'!K7*K$94)*'INGRESOS'!K33</f>
        <v>14717.92</v>
      </c>
    </row>
    <row r="22" spans="1:11" ht="18" customHeight="1">
      <c r="A22" s="5" t="s">
        <v>103</v>
      </c>
      <c r="B22" s="9">
        <f>('INGRESOS'!B5*E$95+'INGRESOS'!B6*H$95+'INGRESOS'!B7*K$95)*'INGRESOS'!B33</f>
        <v>16000.0</v>
      </c>
      <c r="C22" s="9">
        <f>('INGRESOS'!C5*E$95+'INGRESOS'!C6*H$95+'INGRESOS'!C7*K$95)*'INGRESOS'!C33</f>
        <v>16480.0</v>
      </c>
      <c r="D22" s="9">
        <f>('INGRESOS'!D5*E$95+'INGRESOS'!D6*H$95+'INGRESOS'!D7*K$95)*'INGRESOS'!D33</f>
        <v>16974.4</v>
      </c>
      <c r="E22" s="9">
        <f>('INGRESOS'!E5*E$95+'INGRESOS'!E6*H$95+'INGRESOS'!E7*K$95)*'INGRESOS'!E33</f>
        <v>17483.63</v>
      </c>
      <c r="F22" s="9">
        <f>('INGRESOS'!F5*E$95+'INGRESOS'!F6*H$95+'INGRESOS'!F7*K$95)*'INGRESOS'!F33</f>
        <v>13506.11</v>
      </c>
      <c r="G22" s="9">
        <f>('INGRESOS'!G5*E$95+'INGRESOS'!G6*H$95+'INGRESOS'!G7*K$95)*'INGRESOS'!G33</f>
        <v>25627.84</v>
      </c>
      <c r="H22" s="9">
        <f>('INGRESOS'!H5*E$95+'INGRESOS'!H6*H$95+'INGRESOS'!H7*K$95)*'INGRESOS'!H33</f>
        <v>21806.96</v>
      </c>
      <c r="I22" s="9">
        <f>('INGRESOS'!I5*E$95+'INGRESOS'!I6*H$95+'INGRESOS'!I7*K$95)*'INGRESOS'!I33</f>
        <v>17639.41</v>
      </c>
      <c r="J22" s="9">
        <f>('INGRESOS'!J5*E$95+'INGRESOS'!J6*H$95+'INGRESOS'!J7*K$95)*'INGRESOS'!J33</f>
        <v>28827.83</v>
      </c>
      <c r="K22" s="9">
        <f>('INGRESOS'!K5*E$95+'INGRESOS'!K6*H$95+'INGRESOS'!K7*K$95)*'INGRESOS'!K33</f>
        <v>24529.86</v>
      </c>
    </row>
    <row r="23" spans="1:11" ht="18" customHeight="1">
      <c r="A23" s="5" t="s">
        <v>104</v>
      </c>
      <c r="B23" s="9">
        <f>('INGRESOS'!B5*E$96+'INGRESOS'!B6*H$96+'INGRESOS'!B7*K$96)*'INGRESOS'!B33</f>
        <v>16359.0</v>
      </c>
      <c r="C23" s="9">
        <f>('INGRESOS'!C5*E$96+'INGRESOS'!C6*H$96+'INGRESOS'!C7*K$96)*'INGRESOS'!C33</f>
        <v>16849.77</v>
      </c>
      <c r="D23" s="9">
        <f>('INGRESOS'!D5*E$96+'INGRESOS'!D6*H$96+'INGRESOS'!D7*K$96)*'INGRESOS'!D33</f>
        <v>17503.05</v>
      </c>
      <c r="E23" s="9">
        <f>('INGRESOS'!E5*E$96+'INGRESOS'!E6*H$96+'INGRESOS'!E7*K$96)*'INGRESOS'!E33</f>
        <v>18028.14</v>
      </c>
      <c r="F23" s="9">
        <f>('INGRESOS'!F5*E$96+'INGRESOS'!F6*H$96+'INGRESOS'!F7*K$96)*'INGRESOS'!F33</f>
        <v>14044.32</v>
      </c>
      <c r="G23" s="9">
        <f>('INGRESOS'!G5*E$96+'INGRESOS'!G6*H$96+'INGRESOS'!G7*K$96)*'INGRESOS'!G33</f>
        <v>26488.87</v>
      </c>
      <c r="H23" s="9">
        <f>('INGRESOS'!H5*E$96+'INGRESOS'!H6*H$96+'INGRESOS'!H7*K$96)*'INGRESOS'!H33</f>
        <v>22678.09</v>
      </c>
      <c r="I23" s="9">
        <f>('INGRESOS'!I5*E$96+'INGRESOS'!I6*H$96+'INGRESOS'!I7*K$96)*'INGRESOS'!I33</f>
        <v>18520.05</v>
      </c>
      <c r="J23" s="9">
        <f>('INGRESOS'!J5*E$96+'INGRESOS'!J6*H$96+'INGRESOS'!J7*K$96)*'INGRESOS'!J33</f>
        <v>29978.91</v>
      </c>
      <c r="K23" s="9">
        <f>('INGRESOS'!K5*E$96+'INGRESOS'!K6*H$96+'INGRESOS'!K7*K$96)*'INGRESOS'!K33</f>
        <v>25699.6</v>
      </c>
    </row>
    <row r="24" spans="1:11" ht="18" customHeight="1">
      <c r="A24" s="5" t="s">
        <v>105</v>
      </c>
      <c r="B24" s="9">
        <f>('INGRESOS'!B5*E$97+'INGRESOS'!B6*H$97+'INGRESOS'!B7*K$97)*'INGRESOS'!B33</f>
        <v>11685.0</v>
      </c>
      <c r="C24" s="9">
        <f>('INGRESOS'!C5*E$97+'INGRESOS'!C6*H$97+'INGRESOS'!C7*K$97)*'INGRESOS'!C33</f>
        <v>12035.55</v>
      </c>
      <c r="D24" s="9">
        <f>('INGRESOS'!D5*E$97+'INGRESOS'!D6*H$97+'INGRESOS'!D7*K$97)*'INGRESOS'!D33</f>
        <v>12502.18</v>
      </c>
      <c r="E24" s="9">
        <f>('INGRESOS'!E5*E$97+'INGRESOS'!E6*H$97+'INGRESOS'!E7*K$97)*'INGRESOS'!E33</f>
        <v>12877.24</v>
      </c>
      <c r="F24" s="9">
        <f>('INGRESOS'!F5*E$97+'INGRESOS'!F6*H$97+'INGRESOS'!F7*K$97)*'INGRESOS'!F33</f>
        <v>10031.66</v>
      </c>
      <c r="G24" s="9">
        <f>('INGRESOS'!G5*E$97+'INGRESOS'!G6*H$97+'INGRESOS'!G7*K$97)*'INGRESOS'!G33</f>
        <v>18920.62</v>
      </c>
      <c r="H24" s="9">
        <f>('INGRESOS'!H5*E$97+'INGRESOS'!H6*H$97+'INGRESOS'!H7*K$97)*'INGRESOS'!H33</f>
        <v>16198.63</v>
      </c>
      <c r="I24" s="9">
        <f>('INGRESOS'!I5*E$97+'INGRESOS'!I6*H$97+'INGRESOS'!I7*K$97)*'INGRESOS'!I33</f>
        <v>13228.61</v>
      </c>
      <c r="J24" s="9">
        <f>('INGRESOS'!J5*E$97+'INGRESOS'!J6*H$97+'INGRESOS'!J7*K$97)*'INGRESOS'!J33</f>
        <v>21413.51</v>
      </c>
      <c r="K24" s="9">
        <f>('INGRESOS'!K5*E$97+'INGRESOS'!K6*H$97+'INGRESOS'!K7*K$97)*'INGRESOS'!K33</f>
        <v>18356.85</v>
      </c>
    </row>
    <row r="25" spans="1:11" ht="18" customHeight="1">
      <c r="A25" s="5" t="s">
        <v>106</v>
      </c>
      <c r="B25" s="9">
        <f>('INGRESOS'!B5*E$98+'INGRESOS'!B6*H$98+'INGRESOS'!B7*K$98)*'INGRESOS'!B33</f>
        <v>9348.0</v>
      </c>
      <c r="C25" s="9">
        <f>('INGRESOS'!C5*E$98+'INGRESOS'!C6*H$98+'INGRESOS'!C7*K$98)*'INGRESOS'!C33</f>
        <v>9628.44</v>
      </c>
      <c r="D25" s="9">
        <f>('INGRESOS'!D5*E$98+'INGRESOS'!D6*H$98+'INGRESOS'!D7*K$98)*'INGRESOS'!D33</f>
        <v>10001.74</v>
      </c>
      <c r="E25" s="9">
        <f>('INGRESOS'!E5*E$98+'INGRESOS'!E6*H$98+'INGRESOS'!E7*K$98)*'INGRESOS'!E33</f>
        <v>10301.79</v>
      </c>
      <c r="F25" s="9">
        <f>('INGRESOS'!F5*E$98+'INGRESOS'!F6*H$98+'INGRESOS'!F7*K$98)*'INGRESOS'!F33</f>
        <v>8025.33</v>
      </c>
      <c r="G25" s="9">
        <f>('INGRESOS'!G5*E$98+'INGRESOS'!G6*H$98+'INGRESOS'!G7*K$98)*'INGRESOS'!G33</f>
        <v>15136.5</v>
      </c>
      <c r="H25" s="9">
        <f>('INGRESOS'!H5*E$98+'INGRESOS'!H6*H$98+'INGRESOS'!H7*K$98)*'INGRESOS'!H33</f>
        <v>12958.91</v>
      </c>
      <c r="I25" s="9">
        <f>('INGRESOS'!I5*E$98+'INGRESOS'!I6*H$98+'INGRESOS'!I7*K$98)*'INGRESOS'!I33</f>
        <v>10582.89</v>
      </c>
      <c r="J25" s="9">
        <f>('INGRESOS'!J5*E$98+'INGRESOS'!J6*H$98+'INGRESOS'!J7*K$98)*'INGRESOS'!J33</f>
        <v>17130.81</v>
      </c>
      <c r="K25" s="9">
        <f>('INGRESOS'!K5*E$98+'INGRESOS'!K6*H$98+'INGRESOS'!K7*K$98)*'INGRESOS'!K33</f>
        <v>14685.48</v>
      </c>
    </row>
    <row r="26" spans="1:11" ht="18" customHeight="1">
      <c r="A26" s="5" t="s">
        <v>107</v>
      </c>
      <c r="B26" s="9">
        <f>('INGRESOS'!B5*E$99+'INGRESOS'!B6*H$99+'INGRESOS'!B7*K$99)*'INGRESOS'!B33</f>
        <v>9348.0</v>
      </c>
      <c r="C26" s="9">
        <f>('INGRESOS'!C5*E$99+'INGRESOS'!C6*H$99+'INGRESOS'!C7*K$99)*'INGRESOS'!C33</f>
        <v>9628.44</v>
      </c>
      <c r="D26" s="9">
        <f>('INGRESOS'!D5*E$99+'INGRESOS'!D6*H$99+'INGRESOS'!D7*K$99)*'INGRESOS'!D33</f>
        <v>10001.74</v>
      </c>
      <c r="E26" s="9">
        <f>('INGRESOS'!E5*E$99+'INGRESOS'!E6*H$99+'INGRESOS'!E7*K$99)*'INGRESOS'!E33</f>
        <v>10301.79</v>
      </c>
      <c r="F26" s="9">
        <f>('INGRESOS'!F5*E$99+'INGRESOS'!F6*H$99+'INGRESOS'!F7*K$99)*'INGRESOS'!F33</f>
        <v>8025.33</v>
      </c>
      <c r="G26" s="9">
        <f>('INGRESOS'!G5*E$99+'INGRESOS'!G6*H$99+'INGRESOS'!G7*K$99)*'INGRESOS'!G33</f>
        <v>15136.5</v>
      </c>
      <c r="H26" s="9">
        <f>('INGRESOS'!H5*E$99+'INGRESOS'!H6*H$99+'INGRESOS'!H7*K$99)*'INGRESOS'!H33</f>
        <v>12958.91</v>
      </c>
      <c r="I26" s="9">
        <f>('INGRESOS'!I5*E$99+'INGRESOS'!I6*H$99+'INGRESOS'!I7*K$99)*'INGRESOS'!I33</f>
        <v>10582.89</v>
      </c>
      <c r="J26" s="9">
        <f>('INGRESOS'!J5*E$99+'INGRESOS'!J6*H$99+'INGRESOS'!J7*K$99)*'INGRESOS'!J33</f>
        <v>17130.81</v>
      </c>
      <c r="K26" s="9">
        <f>('INGRESOS'!K5*E$99+'INGRESOS'!K6*H$99+'INGRESOS'!K7*K$99)*'INGRESOS'!K33</f>
        <v>14685.48</v>
      </c>
    </row>
    <row r="27" spans="1:11" ht="18" customHeight="1">
      <c r="A27" s="8" t="s">
        <v>108</v>
      </c>
      <c r="B27" s="8">
        <f>SUM(B5:B26)</f>
        <v>222000.0</v>
      </c>
      <c r="C27" s="8">
        <f>SUM(C5:C26)</f>
        <v>228660.0</v>
      </c>
      <c r="D27" s="8">
        <f>SUM(D5:D26)</f>
        <v>240824.3</v>
      </c>
      <c r="E27" s="8">
        <f>SUM(E5:E26)</f>
        <v>248049.03</v>
      </c>
      <c r="F27" s="8">
        <f>SUM(F5:F26)</f>
        <v>195838.53</v>
      </c>
      <c r="G27" s="8">
        <f>SUM(G5:G26)</f>
        <v>359954.6</v>
      </c>
      <c r="H27" s="8">
        <f>SUM(H5:H26)</f>
        <v>310143.41</v>
      </c>
      <c r="I27" s="8">
        <f>SUM(I5:I26)</f>
        <v>255771.39</v>
      </c>
      <c r="J27" s="8">
        <f>SUM(J5:J26)</f>
        <v>411451.75</v>
      </c>
      <c r="K27" s="8">
        <f>SUM(K5:K26)</f>
        <v>355683.0</v>
      </c>
    </row>
    <row r="28" spans="1:11" ht="20" customHeight="1">
      <c r="A28" s="3" t="s">
        <v>109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ht="20" customHeight="1">
      <c r="A29" s="4" t="s">
        <v>3</v>
      </c>
      <c r="B29" s="4" t="s">
        <v>4</v>
      </c>
      <c r="C29" s="4" t="s">
        <v>5</v>
      </c>
      <c r="D29" s="4" t="s">
        <v>6</v>
      </c>
      <c r="E29" s="4" t="s">
        <v>7</v>
      </c>
      <c r="F29" s="4" t="s">
        <v>8</v>
      </c>
      <c r="G29" s="4" t="s">
        <v>9</v>
      </c>
      <c r="H29" s="4" t="s">
        <v>10</v>
      </c>
      <c r="I29" s="4" t="s">
        <v>11</v>
      </c>
      <c r="J29" s="4" t="s">
        <v>12</v>
      </c>
      <c r="K29" s="4" t="s">
        <v>13</v>
      </c>
    </row>
    <row r="30" spans="1:11" ht="18" customHeight="1">
      <c r="A30" s="5" t="s">
        <v>110</v>
      </c>
      <c r="B30" s="9">
        <f>('INGRESOS'!B15*E$104+'INGRESOS'!B16*H$104+'INGRESOS'!B17*K$104)*'INGRESOS'!B33</f>
        <v>2400.0</v>
      </c>
      <c r="C30" s="9">
        <f>('INGRESOS'!C15*E$104+'INGRESOS'!C16*H$104+'INGRESOS'!C17*K$104)*'INGRESOS'!C33</f>
        <v>7416.0</v>
      </c>
      <c r="D30" s="9">
        <f>('INGRESOS'!D15*E$104+'INGRESOS'!D16*H$104+'INGRESOS'!D17*K$104)*'INGRESOS'!D33</f>
        <v>12730.8</v>
      </c>
      <c r="E30" s="9">
        <f>('INGRESOS'!E15*E$104+'INGRESOS'!E16*H$104+'INGRESOS'!E17*K$104)*'INGRESOS'!E33</f>
        <v>18357.81</v>
      </c>
      <c r="F30" s="9">
        <f>('INGRESOS'!F15*E$104+'INGRESOS'!F16*H$104+'INGRESOS'!F17*K$104)*'INGRESOS'!F33</f>
        <v>23635.69</v>
      </c>
      <c r="G30" s="9">
        <f>('INGRESOS'!G15*E$104+'INGRESOS'!G16*H$104+'INGRESOS'!G17*K$104)*'INGRESOS'!G33</f>
        <v>30403.93</v>
      </c>
      <c r="H30" s="9">
        <f>('INGRESOS'!H15*E$104+'INGRESOS'!H16*H$104+'INGRESOS'!H17*K$104)*'INGRESOS'!H33</f>
        <v>38889.08</v>
      </c>
      <c r="I30" s="9">
        <f>('INGRESOS'!I15*E$104+'INGRESOS'!I16*H$104+'INGRESOS'!I17*K$104)*'INGRESOS'!I33</f>
        <v>46492.44</v>
      </c>
      <c r="J30" s="9">
        <f>('INGRESOS'!J15*E$104+'INGRESOS'!J16*H$104+'INGRESOS'!J17*K$104)*'INGRESOS'!J33</f>
        <v>55428.05</v>
      </c>
      <c r="K30" s="9">
        <f>('INGRESOS'!K15*E$104+'INGRESOS'!K16*H$104+'INGRESOS'!K17*K$104)*'INGRESOS'!K33</f>
        <v>65821.8</v>
      </c>
    </row>
    <row r="31" spans="1:11" ht="18" customHeight="1">
      <c r="A31" s="5" t="s">
        <v>111</v>
      </c>
      <c r="B31" s="9">
        <f>('INGRESOS'!B15*E$105+'INGRESOS'!B16*H$105+'INGRESOS'!B17*K$105)*'INGRESOS'!B33</f>
        <v>2000.0</v>
      </c>
      <c r="C31" s="9">
        <f>('INGRESOS'!C15*E$105+'INGRESOS'!C16*H$105+'INGRESOS'!C17*K$105)*'INGRESOS'!C33</f>
        <v>6180.0</v>
      </c>
      <c r="D31" s="9">
        <f>('INGRESOS'!D15*E$105+'INGRESOS'!D16*H$105+'INGRESOS'!D17*K$105)*'INGRESOS'!D33</f>
        <v>10396.82</v>
      </c>
      <c r="E31" s="9">
        <f>('INGRESOS'!E15*E$105+'INGRESOS'!E16*H$105+'INGRESOS'!E17*K$105)*'INGRESOS'!E33</f>
        <v>14642.54</v>
      </c>
      <c r="F31" s="9">
        <f>('INGRESOS'!F15*E$105+'INGRESOS'!F16*H$105+'INGRESOS'!F17*K$105)*'INGRESOS'!F33</f>
        <v>18458.34</v>
      </c>
      <c r="G31" s="9">
        <f>('INGRESOS'!G15*E$105+'INGRESOS'!G16*H$105+'INGRESOS'!G17*K$105)*'INGRESOS'!G33</f>
        <v>23472.77</v>
      </c>
      <c r="H31" s="9">
        <f>('INGRESOS'!H15*E$105+'INGRESOS'!H16*H$105+'INGRESOS'!H17*K$105)*'INGRESOS'!H33</f>
        <v>29863.42</v>
      </c>
      <c r="I31" s="9">
        <f>('INGRESOS'!I15*E$105+'INGRESOS'!I16*H$105+'INGRESOS'!I17*K$105)*'INGRESOS'!I33</f>
        <v>35215.81</v>
      </c>
      <c r="J31" s="9">
        <f>('INGRESOS'!J15*E$105+'INGRESOS'!J16*H$105+'INGRESOS'!J17*K$105)*'INGRESOS'!J33</f>
        <v>41472.76</v>
      </c>
      <c r="K31" s="9">
        <f>('INGRESOS'!K15*E$105+'INGRESOS'!K16*H$105+'INGRESOS'!K17*K$105)*'INGRESOS'!K33</f>
        <v>48719.03</v>
      </c>
    </row>
    <row r="32" spans="1:11" ht="18" customHeight="1">
      <c r="A32" s="5" t="s">
        <v>112</v>
      </c>
      <c r="B32" s="9">
        <f>('INGRESOS'!B15*E$106+'INGRESOS'!B16*H$106+'INGRESOS'!B17*K$106)*'INGRESOS'!B33</f>
        <v>2000.0</v>
      </c>
      <c r="C32" s="9">
        <f>('INGRESOS'!C15*E$106+'INGRESOS'!C16*H$106+'INGRESOS'!C17*K$106)*'INGRESOS'!C33</f>
        <v>6180.0</v>
      </c>
      <c r="D32" s="9">
        <f>('INGRESOS'!D15*E$106+'INGRESOS'!D16*H$106+'INGRESOS'!D17*K$106)*'INGRESOS'!D33</f>
        <v>10396.82</v>
      </c>
      <c r="E32" s="9">
        <f>('INGRESOS'!E15*E$106+'INGRESOS'!E16*H$106+'INGRESOS'!E17*K$106)*'INGRESOS'!E33</f>
        <v>14642.54</v>
      </c>
      <c r="F32" s="9">
        <f>('INGRESOS'!F15*E$106+'INGRESOS'!F16*H$106+'INGRESOS'!F17*K$106)*'INGRESOS'!F33</f>
        <v>18458.34</v>
      </c>
      <c r="G32" s="9">
        <f>('INGRESOS'!G15*E$106+'INGRESOS'!G16*H$106+'INGRESOS'!G17*K$106)*'INGRESOS'!G33</f>
        <v>23472.77</v>
      </c>
      <c r="H32" s="9">
        <f>('INGRESOS'!H15*E$106+'INGRESOS'!H16*H$106+'INGRESOS'!H17*K$106)*'INGRESOS'!H33</f>
        <v>29863.42</v>
      </c>
      <c r="I32" s="9">
        <f>('INGRESOS'!I15*E$106+'INGRESOS'!I16*H$106+'INGRESOS'!I17*K$106)*'INGRESOS'!I33</f>
        <v>35215.81</v>
      </c>
      <c r="J32" s="9">
        <f>('INGRESOS'!J15*E$106+'INGRESOS'!J16*H$106+'INGRESOS'!J17*K$106)*'INGRESOS'!J33</f>
        <v>41472.76</v>
      </c>
      <c r="K32" s="9">
        <f>('INGRESOS'!K15*E$106+'INGRESOS'!K16*H$106+'INGRESOS'!K17*K$106)*'INGRESOS'!K33</f>
        <v>48719.03</v>
      </c>
    </row>
    <row r="33" spans="1:11" ht="18" customHeight="1">
      <c r="A33" s="5" t="s">
        <v>113</v>
      </c>
      <c r="B33" s="9">
        <f>('INGRESOS'!B15*E$107+'INGRESOS'!B16*H$107+'INGRESOS'!B17*K$107)*'INGRESOS'!B33</f>
        <v>800.0</v>
      </c>
      <c r="C33" s="9">
        <f>('INGRESOS'!C15*E$107+'INGRESOS'!C16*H$107+'INGRESOS'!C17*K$107)*'INGRESOS'!C33</f>
        <v>2472.0</v>
      </c>
      <c r="D33" s="9">
        <f>('INGRESOS'!D15*E$107+'INGRESOS'!D16*H$107+'INGRESOS'!D17*K$107)*'INGRESOS'!D33</f>
        <v>4349.69</v>
      </c>
      <c r="E33" s="9">
        <f>('INGRESOS'!E15*E$107+'INGRESOS'!E16*H$107+'INGRESOS'!E17*K$107)*'INGRESOS'!E33</f>
        <v>6447.09</v>
      </c>
      <c r="F33" s="9">
        <f>('INGRESOS'!F15*E$107+'INGRESOS'!F16*H$107+'INGRESOS'!F17*K$107)*'INGRESOS'!F33</f>
        <v>8497.59</v>
      </c>
      <c r="G33" s="9">
        <f>('INGRESOS'!G15*E$107+'INGRESOS'!G16*H$107+'INGRESOS'!G17*K$107)*'INGRESOS'!G33</f>
        <v>11066.57</v>
      </c>
      <c r="H33" s="9">
        <f>('INGRESOS'!H15*E$107+'INGRESOS'!H16*H$107+'INGRESOS'!H17*K$107)*'INGRESOS'!H33</f>
        <v>14235.1</v>
      </c>
      <c r="I33" s="9">
        <f>('INGRESOS'!I15*E$107+'INGRESOS'!I16*H$107+'INGRESOS'!I17*K$107)*'INGRESOS'!I33</f>
        <v>17261.42</v>
      </c>
      <c r="J33" s="9">
        <f>('INGRESOS'!J15*E$107+'INGRESOS'!J16*H$107+'INGRESOS'!J17*K$107)*'INGRESOS'!J33</f>
        <v>20834.66</v>
      </c>
      <c r="K33" s="9">
        <f>('INGRESOS'!K15*E$107+'INGRESOS'!K16*H$107+'INGRESOS'!K17*K$107)*'INGRESOS'!K33</f>
        <v>25006.83</v>
      </c>
    </row>
    <row r="34" spans="1:11" ht="18" customHeight="1">
      <c r="A34" s="5" t="s">
        <v>114</v>
      </c>
      <c r="B34" s="9">
        <f>('INGRESOS'!B15*E$108+'INGRESOS'!B16*H$108+'INGRESOS'!B17*K$108)*'INGRESOS'!B33</f>
        <v>400.0</v>
      </c>
      <c r="C34" s="9">
        <f>('INGRESOS'!C15*E$108+'INGRESOS'!C16*H$108+'INGRESOS'!C17*K$108)*'INGRESOS'!C33</f>
        <v>1236.0</v>
      </c>
      <c r="D34" s="9">
        <f>('INGRESOS'!D15*E$108+'INGRESOS'!D16*H$108+'INGRESOS'!D17*K$108)*'INGRESOS'!D33</f>
        <v>2143.02</v>
      </c>
      <c r="E34" s="9">
        <f>('INGRESOS'!E15*E$108+'INGRESOS'!E16*H$108+'INGRESOS'!E17*K$108)*'INGRESOS'!E33</f>
        <v>3125.2</v>
      </c>
      <c r="F34" s="9">
        <f>('INGRESOS'!F15*E$108+'INGRESOS'!F16*H$108+'INGRESOS'!F17*K$108)*'INGRESOS'!F33</f>
        <v>4063.09</v>
      </c>
      <c r="G34" s="9">
        <f>('INGRESOS'!G15*E$108+'INGRESOS'!G16*H$108+'INGRESOS'!G17*K$108)*'INGRESOS'!G33</f>
        <v>5242.06</v>
      </c>
      <c r="H34" s="9">
        <f>('INGRESOS'!H15*E$108+'INGRESOS'!H16*H$108+'INGRESOS'!H17*K$108)*'INGRESOS'!H33</f>
        <v>6699.58</v>
      </c>
      <c r="I34" s="9">
        <f>('INGRESOS'!I15*E$108+'INGRESOS'!I16*H$108+'INGRESOS'!I17*K$108)*'INGRESOS'!I33</f>
        <v>8038.53</v>
      </c>
      <c r="J34" s="9">
        <f>('INGRESOS'!J15*E$108+'INGRESOS'!J16*H$108+'INGRESOS'!J17*K$108)*'INGRESOS'!J33</f>
        <v>9618.01</v>
      </c>
      <c r="K34" s="9">
        <f>('INGRESOS'!K15*E$108+'INGRESOS'!K16*H$108+'INGRESOS'!K17*K$108)*'INGRESOS'!K33</f>
        <v>11460.9</v>
      </c>
    </row>
    <row r="35" spans="1:11" ht="18" customHeight="1">
      <c r="A35" s="5" t="s">
        <v>115</v>
      </c>
      <c r="B35" s="9">
        <f>('INGRESOS'!B15*E$109+'INGRESOS'!B16*H$109+'INGRESOS'!B17*K$109)*'INGRESOS'!B33</f>
        <v>2880.0</v>
      </c>
      <c r="C35" s="9">
        <f>('INGRESOS'!C15*E$109+'INGRESOS'!C16*H$109+'INGRESOS'!C17*K$109)*'INGRESOS'!C33</f>
        <v>8899.2</v>
      </c>
      <c r="D35" s="9">
        <f>('INGRESOS'!D15*E$109+'INGRESOS'!D16*H$109+'INGRESOS'!D17*K$109)*'INGRESOS'!D33</f>
        <v>15786.19</v>
      </c>
      <c r="E35" s="9">
        <f>('INGRESOS'!E15*E$109+'INGRESOS'!E16*H$109+'INGRESOS'!E17*K$109)*'INGRESOS'!E33</f>
        <v>23602.9</v>
      </c>
      <c r="F35" s="9">
        <f>('INGRESOS'!F15*E$109+'INGRESOS'!F16*H$109+'INGRESOS'!F17*K$109)*'INGRESOS'!F33</f>
        <v>31334.17</v>
      </c>
      <c r="G35" s="9">
        <f>('INGRESOS'!G15*E$109+'INGRESOS'!G16*H$109+'INGRESOS'!G17*K$109)*'INGRESOS'!G33</f>
        <v>40818.15</v>
      </c>
      <c r="H35" s="9">
        <f>('INGRESOS'!H15*E$109+'INGRESOS'!H16*H$109+'INGRESOS'!H17*K$109)*'INGRESOS'!H33</f>
        <v>52336.7</v>
      </c>
      <c r="I35" s="9">
        <f>('INGRESOS'!I15*E$109+'INGRESOS'!I16*H$109+'INGRESOS'!I17*K$109)*'INGRESOS'!I33</f>
        <v>63501.86</v>
      </c>
      <c r="J35" s="9">
        <f>('INGRESOS'!J15*E$109+'INGRESOS'!J16*H$109+'INGRESOS'!J17*K$109)*'INGRESOS'!J33</f>
        <v>76734.44</v>
      </c>
      <c r="K35" s="9">
        <f>('INGRESOS'!K15*E$109+'INGRESOS'!K16*H$109+'INGRESOS'!K17*K$109)*'INGRESOS'!K33</f>
        <v>92232.28</v>
      </c>
    </row>
    <row r="36" spans="1:11" ht="18" customHeight="1">
      <c r="A36" s="5" t="s">
        <v>116</v>
      </c>
      <c r="B36" s="9">
        <f>('INGRESOS'!B15*E$110+'INGRESOS'!B16*H$110+'INGRESOS'!B17*K$110)*'INGRESOS'!B33</f>
        <v>2000.0</v>
      </c>
      <c r="C36" s="9">
        <f>('INGRESOS'!C15*E$110+'INGRESOS'!C16*H$110+'INGRESOS'!C17*K$110)*'INGRESOS'!C33</f>
        <v>6180.0</v>
      </c>
      <c r="D36" s="9">
        <f>('INGRESOS'!D15*E$110+'INGRESOS'!D16*H$110+'INGRESOS'!D17*K$110)*'INGRESOS'!D33</f>
        <v>10821.18</v>
      </c>
      <c r="E36" s="9">
        <f>('INGRESOS'!E15*E$110+'INGRESOS'!E16*H$110+'INGRESOS'!E17*K$110)*'INGRESOS'!E33</f>
        <v>15953.81</v>
      </c>
      <c r="F36" s="9">
        <f>('INGRESOS'!F15*E$110+'INGRESOS'!F16*H$110+'INGRESOS'!F17*K$110)*'INGRESOS'!F33</f>
        <v>20934.46</v>
      </c>
      <c r="G36" s="9">
        <f>('INGRESOS'!G15*E$110+'INGRESOS'!G16*H$110+'INGRESOS'!G17*K$110)*'INGRESOS'!G33</f>
        <v>27142.21</v>
      </c>
      <c r="H36" s="9">
        <f>('INGRESOS'!H15*E$110+'INGRESOS'!H16*H$110+'INGRESOS'!H17*K$110)*'INGRESOS'!H33</f>
        <v>34769.98</v>
      </c>
      <c r="I36" s="9">
        <f>('INGRESOS'!I15*E$110+'INGRESOS'!I16*H$110+'INGRESOS'!I17*K$110)*'INGRESOS'!I33</f>
        <v>41956.59</v>
      </c>
      <c r="J36" s="9">
        <f>('INGRESOS'!J15*E$110+'INGRESOS'!J16*H$110+'INGRESOS'!J17*K$110)*'INGRESOS'!J33</f>
        <v>50448.7</v>
      </c>
      <c r="K36" s="9">
        <f>('INGRESOS'!K15*E$110+'INGRESOS'!K16*H$110+'INGRESOS'!K17*K$110)*'INGRESOS'!K33</f>
        <v>60370.72</v>
      </c>
    </row>
    <row r="37" spans="1:11" ht="18" customHeight="1">
      <c r="A37" s="5" t="s">
        <v>117</v>
      </c>
      <c r="B37" s="9">
        <f>('INGRESOS'!B15*E$111+'INGRESOS'!B16*H$111+'INGRESOS'!B17*K$111)*'INGRESOS'!B33</f>
        <v>1920.0</v>
      </c>
      <c r="C37" s="9">
        <f>('INGRESOS'!C15*E$111+'INGRESOS'!C16*H$111+'INGRESOS'!C17*K$111)*'INGRESOS'!C33</f>
        <v>5932.8</v>
      </c>
      <c r="D37" s="9">
        <f>('INGRESOS'!D15*E$111+'INGRESOS'!D16*H$111+'INGRESOS'!D17*K$111)*'INGRESOS'!D33</f>
        <v>10524.13</v>
      </c>
      <c r="E37" s="9">
        <f>('INGRESOS'!E15*E$111+'INGRESOS'!E16*H$111+'INGRESOS'!E17*K$111)*'INGRESOS'!E33</f>
        <v>15735.27</v>
      </c>
      <c r="F37" s="9">
        <f>('INGRESOS'!F15*E$111+'INGRESOS'!F16*H$111+'INGRESOS'!F17*K$111)*'INGRESOS'!F33</f>
        <v>20889.44</v>
      </c>
      <c r="G37" s="9">
        <f>('INGRESOS'!G15*E$111+'INGRESOS'!G16*H$111+'INGRESOS'!G17*K$111)*'INGRESOS'!G33</f>
        <v>27212.1</v>
      </c>
      <c r="H37" s="9">
        <f>('INGRESOS'!H15*E$111+'INGRESOS'!H16*H$111+'INGRESOS'!H17*K$111)*'INGRESOS'!H33</f>
        <v>34891.13</v>
      </c>
      <c r="I37" s="9">
        <f>('INGRESOS'!I15*E$111+'INGRESOS'!I16*H$111+'INGRESOS'!I17*K$111)*'INGRESOS'!I33</f>
        <v>42334.58</v>
      </c>
      <c r="J37" s="9">
        <f>('INGRESOS'!J15*E$111+'INGRESOS'!J16*H$111+'INGRESOS'!J17*K$111)*'INGRESOS'!J33</f>
        <v>51156.29</v>
      </c>
      <c r="K37" s="9">
        <f>('INGRESOS'!K15*E$111+'INGRESOS'!K16*H$111+'INGRESOS'!K17*K$111)*'INGRESOS'!K33</f>
        <v>61488.19</v>
      </c>
    </row>
    <row r="38" spans="1:11" ht="18" customHeight="1">
      <c r="A38" s="5" t="s">
        <v>118</v>
      </c>
      <c r="B38" s="9">
        <f>('INGRESOS'!B15*E$112+'INGRESOS'!B16*H$112+'INGRESOS'!B17*K$112)*'INGRESOS'!B33</f>
        <v>1560.0</v>
      </c>
      <c r="C38" s="9">
        <f>('INGRESOS'!C15*E$112+'INGRESOS'!C16*H$112+'INGRESOS'!C17*K$112)*'INGRESOS'!C33</f>
        <v>4820.4</v>
      </c>
      <c r="D38" s="9">
        <f>('INGRESOS'!D15*E$112+'INGRESOS'!D16*H$112+'INGRESOS'!D17*K$112)*'INGRESOS'!D33</f>
        <v>8453.25</v>
      </c>
      <c r="E38" s="9">
        <f>('INGRESOS'!E15*E$112+'INGRESOS'!E16*H$112+'INGRESOS'!E17*K$112)*'INGRESOS'!E33</f>
        <v>12483.31</v>
      </c>
      <c r="F38" s="9">
        <f>('INGRESOS'!F15*E$112+'INGRESOS'!F16*H$112+'INGRESOS'!F17*K$112)*'INGRESOS'!F33</f>
        <v>16403.17</v>
      </c>
      <c r="G38" s="9">
        <f>('INGRESOS'!G15*E$112+'INGRESOS'!G16*H$112+'INGRESOS'!G17*K$112)*'INGRESOS'!G33</f>
        <v>21422.54</v>
      </c>
      <c r="H38" s="9">
        <f>('INGRESOS'!H15*E$112+'INGRESOS'!H16*H$112+'INGRESOS'!H17*K$112)*'INGRESOS'!H33</f>
        <v>27709.38</v>
      </c>
      <c r="I38" s="9">
        <f>('INGRESOS'!I15*E$112+'INGRESOS'!I16*H$112+'INGRESOS'!I17*K$112)*'INGRESOS'!I33</f>
        <v>33693.79</v>
      </c>
      <c r="J38" s="9">
        <f>('INGRESOS'!J15*E$112+'INGRESOS'!J16*H$112+'INGRESOS'!J17*K$112)*'INGRESOS'!J33</f>
        <v>40733.72</v>
      </c>
      <c r="K38" s="9">
        <f>('INGRESOS'!K15*E$112+'INGRESOS'!K16*H$112+'INGRESOS'!K17*K$112)*'INGRESOS'!K33</f>
        <v>48928.9</v>
      </c>
    </row>
    <row r="39" spans="1:11" ht="18" customHeight="1">
      <c r="A39" s="5" t="s">
        <v>119</v>
      </c>
      <c r="B39" s="9">
        <f>('INGRESOS'!B15*E$113+'INGRESOS'!B16*H$113+'INGRESOS'!B17*K$113)*'INGRESOS'!B33</f>
        <v>1040.0</v>
      </c>
      <c r="C39" s="9">
        <f>('INGRESOS'!C15*E$113+'INGRESOS'!C16*H$113+'INGRESOS'!C17*K$113)*'INGRESOS'!C33</f>
        <v>3213.6</v>
      </c>
      <c r="D39" s="9">
        <f>('INGRESOS'!D15*E$113+'INGRESOS'!D16*H$113+'INGRESOS'!D17*K$113)*'INGRESOS'!D33</f>
        <v>5635.5</v>
      </c>
      <c r="E39" s="9">
        <f>('INGRESOS'!E15*E$113+'INGRESOS'!E16*H$113+'INGRESOS'!E17*K$113)*'INGRESOS'!E33</f>
        <v>8322.21</v>
      </c>
      <c r="F39" s="9">
        <f>('INGRESOS'!F15*E$113+'INGRESOS'!F16*H$113+'INGRESOS'!F17*K$113)*'INGRESOS'!F33</f>
        <v>10935.44</v>
      </c>
      <c r="G39" s="9">
        <f>('INGRESOS'!G15*E$113+'INGRESOS'!G16*H$113+'INGRESOS'!G17*K$113)*'INGRESOS'!G33</f>
        <v>14281.69</v>
      </c>
      <c r="H39" s="9">
        <f>('INGRESOS'!H15*E$113+'INGRESOS'!H16*H$113+'INGRESOS'!H17*K$113)*'INGRESOS'!H33</f>
        <v>18472.92</v>
      </c>
      <c r="I39" s="9">
        <f>('INGRESOS'!I15*E$113+'INGRESOS'!I16*H$113+'INGRESOS'!I17*K$113)*'INGRESOS'!I33</f>
        <v>22462.52</v>
      </c>
      <c r="J39" s="9">
        <f>('INGRESOS'!J15*E$113+'INGRESOS'!J16*H$113+'INGRESOS'!J17*K$113)*'INGRESOS'!J33</f>
        <v>27155.82</v>
      </c>
      <c r="K39" s="9">
        <f>('INGRESOS'!K15*E$113+'INGRESOS'!K16*H$113+'INGRESOS'!K17*K$113)*'INGRESOS'!K33</f>
        <v>32619.27</v>
      </c>
    </row>
    <row r="40" spans="1:11" ht="18" customHeight="1">
      <c r="A40" s="8" t="s">
        <v>120</v>
      </c>
      <c r="B40" s="8">
        <f>SUM(B30:B39)</f>
        <v>17000.0</v>
      </c>
      <c r="C40" s="8">
        <f>SUM(C30:C39)</f>
        <v>52530.0</v>
      </c>
      <c r="D40" s="8">
        <f>SUM(D30:D39)</f>
        <v>91237.4</v>
      </c>
      <c r="E40" s="8">
        <f>SUM(E30:E39)</f>
        <v>133312.69</v>
      </c>
      <c r="F40" s="8">
        <f>SUM(F30:F39)</f>
        <v>173609.73</v>
      </c>
      <c r="G40" s="8">
        <f>SUM(G30:G39)</f>
        <v>224534.79</v>
      </c>
      <c r="H40" s="8">
        <f>SUM(H30:H39)</f>
        <v>287730.7</v>
      </c>
      <c r="I40" s="8">
        <f>SUM(I30:I39)</f>
        <v>346173.35</v>
      </c>
      <c r="J40" s="8">
        <f>SUM(J30:J39)</f>
        <v>415055.23</v>
      </c>
      <c r="K40" s="8">
        <f>SUM(K30:K39)</f>
        <v>495366.94</v>
      </c>
    </row>
    <row r="41" spans="1:11" ht="20" customHeight="1">
      <c r="A41" s="3" t="s">
        <v>121</v>
      </c>
      <c r="B41" s="3"/>
      <c r="C41" s="3"/>
      <c r="D41" s="3"/>
      <c r="E41" s="3"/>
      <c r="F41" s="3"/>
      <c r="G41" s="3"/>
      <c r="H41" s="3"/>
      <c r="I41" s="3"/>
      <c r="J41" s="3"/>
      <c r="K41" s="3"/>
    </row>
    <row r="42" spans="1:11" ht="20" customHeight="1">
      <c r="A42" s="4" t="s">
        <v>3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  <c r="J42" s="4" t="s">
        <v>12</v>
      </c>
      <c r="K42" s="4" t="s">
        <v>13</v>
      </c>
    </row>
    <row r="43" spans="1:11" ht="18" customHeight="1">
      <c r="A43" s="5" t="s">
        <v>122</v>
      </c>
      <c r="B43" s="9">
        <f>'INGRESOS'!B10*$C$118*$B$118</f>
        <v>7104.0</v>
      </c>
      <c r="C43" s="9">
        <f>'INGRESOS'!C10*$C$118*$B$118</f>
        <v>7317.12</v>
      </c>
      <c r="D43" s="9">
        <f>'INGRESOS'!D10*$C$118*$B$118</f>
        <v>7679.22</v>
      </c>
      <c r="E43" s="9">
        <f>'INGRESOS'!E10*$C$118*$B$118</f>
        <v>7909.6</v>
      </c>
      <c r="F43" s="9">
        <f>'INGRESOS'!F10*$C$118*$B$118</f>
        <v>6223.61</v>
      </c>
      <c r="G43" s="9">
        <f>'INGRESOS'!G10*$C$118*$B$118</f>
        <v>11496.18</v>
      </c>
      <c r="H43" s="9">
        <f>'INGRESOS'!H10*$C$118*$B$118</f>
        <v>9885.82</v>
      </c>
      <c r="I43" s="9">
        <f>'INGRESOS'!I10*$C$118*$B$118</f>
        <v>8128.24</v>
      </c>
      <c r="J43" s="9">
        <f>'INGRESOS'!J10*$C$118*$B$118</f>
        <v>13107.75</v>
      </c>
      <c r="K43" s="9">
        <f>'INGRESOS'!K10*$C$118*$B$118</f>
        <v>11303.36</v>
      </c>
    </row>
    <row r="44" spans="1:11" ht="18" customHeight="1">
      <c r="A44" s="5" t="s">
        <v>123</v>
      </c>
      <c r="B44" s="9">
        <f>'INGRESOS'!B10*$C$119*$B$119</f>
        <v>3552.0</v>
      </c>
      <c r="C44" s="9">
        <f>'INGRESOS'!C10*$C$119*$B$119</f>
        <v>3658.56</v>
      </c>
      <c r="D44" s="9">
        <f>'INGRESOS'!D10*$C$119*$B$119</f>
        <v>3839.61</v>
      </c>
      <c r="E44" s="9">
        <f>'INGRESOS'!E10*$C$119*$B$119</f>
        <v>3954.8</v>
      </c>
      <c r="F44" s="9">
        <f>'INGRESOS'!F10*$C$119*$B$119</f>
        <v>3111.81</v>
      </c>
      <c r="G44" s="9">
        <f>'INGRESOS'!G10*$C$119*$B$119</f>
        <v>5748.09</v>
      </c>
      <c r="H44" s="9">
        <f>'INGRESOS'!H10*$C$119*$B$119</f>
        <v>4942.91</v>
      </c>
      <c r="I44" s="9">
        <f>'INGRESOS'!I10*$C$119*$B$119</f>
        <v>4064.12</v>
      </c>
      <c r="J44" s="9">
        <f>'INGRESOS'!J10*$C$119*$B$119</f>
        <v>6553.88</v>
      </c>
      <c r="K44" s="9">
        <f>'INGRESOS'!K10*$C$119*$B$119</f>
        <v>5651.68</v>
      </c>
    </row>
    <row r="45" spans="1:11" ht="18" customHeight="1">
      <c r="A45" s="5" t="s">
        <v>124</v>
      </c>
      <c r="B45" s="9">
        <f>'INGRESOS'!B10*$C$120*$B$120</f>
        <v>3552.0</v>
      </c>
      <c r="C45" s="9">
        <f>'INGRESOS'!C10*$C$120*$B$120</f>
        <v>3658.56</v>
      </c>
      <c r="D45" s="9">
        <f>'INGRESOS'!D10*$C$120*$B$120</f>
        <v>3839.61</v>
      </c>
      <c r="E45" s="9">
        <f>'INGRESOS'!E10*$C$120*$B$120</f>
        <v>3954.8</v>
      </c>
      <c r="F45" s="9">
        <f>'INGRESOS'!F10*$C$120*$B$120</f>
        <v>3111.81</v>
      </c>
      <c r="G45" s="9">
        <f>'INGRESOS'!G10*$C$120*$B$120</f>
        <v>5748.09</v>
      </c>
      <c r="H45" s="9">
        <f>'INGRESOS'!H10*$C$120*$B$120</f>
        <v>4942.91</v>
      </c>
      <c r="I45" s="9">
        <f>'INGRESOS'!I10*$C$120*$B$120</f>
        <v>4064.12</v>
      </c>
      <c r="J45" s="9">
        <f>'INGRESOS'!J10*$C$120*$B$120</f>
        <v>6553.88</v>
      </c>
      <c r="K45" s="9">
        <f>'INGRESOS'!K10*$C$120*$B$120</f>
        <v>5651.68</v>
      </c>
    </row>
    <row r="46" spans="1:11" ht="18" customHeight="1">
      <c r="A46" s="5" t="s">
        <v>125</v>
      </c>
      <c r="B46" s="9">
        <f>'INGRESOS'!B10*$C$121*$B$121</f>
        <v>3552.0</v>
      </c>
      <c r="C46" s="9">
        <f>'INGRESOS'!C10*$C$121*$B$121</f>
        <v>3658.56</v>
      </c>
      <c r="D46" s="9">
        <f>'INGRESOS'!D10*$C$121*$B$121</f>
        <v>3839.61</v>
      </c>
      <c r="E46" s="9">
        <f>'INGRESOS'!E10*$C$121*$B$121</f>
        <v>3954.8</v>
      </c>
      <c r="F46" s="9">
        <f>'INGRESOS'!F10*$C$121*$B$121</f>
        <v>3111.81</v>
      </c>
      <c r="G46" s="9">
        <f>'INGRESOS'!G10*$C$121*$B$121</f>
        <v>5748.09</v>
      </c>
      <c r="H46" s="9">
        <f>'INGRESOS'!H10*$C$121*$B$121</f>
        <v>4942.91</v>
      </c>
      <c r="I46" s="9">
        <f>'INGRESOS'!I10*$C$121*$B$121</f>
        <v>4064.12</v>
      </c>
      <c r="J46" s="9">
        <f>'INGRESOS'!J10*$C$121*$B$121</f>
        <v>6553.88</v>
      </c>
      <c r="K46" s="9">
        <f>'INGRESOS'!K10*$C$121*$B$121</f>
        <v>5651.68</v>
      </c>
    </row>
    <row r="47" spans="1:11" ht="18" customHeight="1">
      <c r="A47" s="8" t="s">
        <v>126</v>
      </c>
      <c r="B47" s="8">
        <f>SUM(B43:B46)</f>
        <v>17760.0</v>
      </c>
      <c r="C47" s="8">
        <f>SUM(C43:C46)</f>
        <v>18292.8</v>
      </c>
      <c r="D47" s="8">
        <f>SUM(D43:D46)</f>
        <v>19198.05</v>
      </c>
      <c r="E47" s="8">
        <f>SUM(E43:E46)</f>
        <v>19773.99</v>
      </c>
      <c r="F47" s="8">
        <f>SUM(F43:F46)</f>
        <v>15559.03</v>
      </c>
      <c r="G47" s="8">
        <f>SUM(G43:G46)</f>
        <v>28740.45</v>
      </c>
      <c r="H47" s="8">
        <f>SUM(H43:H46)</f>
        <v>24714.55</v>
      </c>
      <c r="I47" s="8">
        <f>SUM(I43:I46)</f>
        <v>20320.6</v>
      </c>
      <c r="J47" s="8">
        <f>SUM(J43:J46)</f>
        <v>32769.38</v>
      </c>
      <c r="K47" s="8">
        <f>SUM(K43:K46)</f>
        <v>28258.4</v>
      </c>
    </row>
    <row r="48" spans="1:11" ht="18" customHeight="1">
      <c r="A48" s="8" t="s">
        <v>127</v>
      </c>
      <c r="B48" s="8">
        <f>SUM(B27,B40,B47)</f>
        <v>256760.0</v>
      </c>
      <c r="C48" s="8">
        <f>SUM(C27,C40,C47)</f>
        <v>299482.8</v>
      </c>
      <c r="D48" s="8">
        <f>SUM(D27,D40,D47)</f>
        <v>351259.75</v>
      </c>
      <c r="E48" s="8">
        <f>SUM(E27,E40,E47)</f>
        <v>401135.71</v>
      </c>
      <c r="F48" s="8">
        <f>SUM(F27,F40,F47)</f>
        <v>385007.3</v>
      </c>
      <c r="G48" s="8">
        <f>SUM(G27,G40,G47)</f>
        <v>613229.84</v>
      </c>
      <c r="H48" s="8">
        <f>SUM(H27,H40,H47)</f>
        <v>622588.66</v>
      </c>
      <c r="I48" s="8">
        <f>SUM(I27,I40,I47)</f>
        <v>622265.33</v>
      </c>
      <c r="J48" s="8">
        <f>SUM(J27,J40,J47)</f>
        <v>859276.36</v>
      </c>
      <c r="K48" s="8">
        <f>SUM(K27,K40,K47)</f>
        <v>879308.35</v>
      </c>
    </row>
    <row r="50" spans="1:11" ht="20" customHeight="1">
      <c r="A50" s="3" t="s">
        <v>128</v>
      </c>
      <c r="B50" s="3"/>
      <c r="C50" s="3"/>
      <c r="D50" s="3"/>
      <c r="E50" s="3"/>
      <c r="F50" s="3"/>
      <c r="G50" s="3"/>
      <c r="H50" s="3"/>
      <c r="I50" s="3"/>
      <c r="J50" s="3"/>
      <c r="K50" s="3"/>
    </row>
    <row r="51" spans="1:11" ht="20" customHeight="1">
      <c r="A51" s="4" t="s">
        <v>3</v>
      </c>
      <c r="B51" s="4" t="s">
        <v>4</v>
      </c>
      <c r="C51" s="4" t="s">
        <v>5</v>
      </c>
      <c r="D51" s="4" t="s">
        <v>6</v>
      </c>
      <c r="E51" s="4" t="s">
        <v>7</v>
      </c>
      <c r="F51" s="4" t="s">
        <v>8</v>
      </c>
      <c r="G51" s="4" t="s">
        <v>9</v>
      </c>
      <c r="H51" s="4" t="s">
        <v>10</v>
      </c>
      <c r="I51" s="4" t="s">
        <v>11</v>
      </c>
      <c r="J51" s="4" t="s">
        <v>12</v>
      </c>
      <c r="K51" s="4" t="s">
        <v>13</v>
      </c>
    </row>
    <row r="52" spans="1:11" ht="18" customHeight="1">
      <c r="A52" s="5" t="s">
        <v>129</v>
      </c>
      <c r="B52" s="6">
        <f>'INGRESOS'!B8</f>
        <v>2</v>
      </c>
      <c r="C52" s="6">
        <f>'INGRESOS'!C8</f>
        <v>2</v>
      </c>
      <c r="D52" s="6">
        <f>'INGRESOS'!D8</f>
        <v>3</v>
      </c>
      <c r="E52" s="6">
        <f>'INGRESOS'!E8</f>
        <v>3</v>
      </c>
      <c r="F52" s="6">
        <f>'INGRESOS'!F8</f>
        <v>3</v>
      </c>
      <c r="G52" s="6">
        <f>'INGRESOS'!G8</f>
        <v>4</v>
      </c>
      <c r="H52" s="6">
        <f>'INGRESOS'!H8</f>
        <v>4</v>
      </c>
      <c r="I52" s="6">
        <f>'INGRESOS'!I8</f>
        <v>4</v>
      </c>
      <c r="J52" s="6">
        <f>'INGRESOS'!J8</f>
        <v>5</v>
      </c>
      <c r="K52" s="6">
        <f>'INGRESOS'!K8</f>
        <v>5</v>
      </c>
    </row>
    <row r="53" spans="1:11" ht="18" customHeight="1">
      <c r="A53" s="5" t="s">
        <v>21</v>
      </c>
      <c r="B53" s="6">
        <f>'INGRESOS'!B14</f>
        <v>2</v>
      </c>
      <c r="C53" s="6">
        <f>'INGRESOS'!C14</f>
        <v>4</v>
      </c>
      <c r="D53" s="6">
        <f>'INGRESOS'!D14</f>
        <v>7</v>
      </c>
      <c r="E53" s="6">
        <f>'INGRESOS'!E14</f>
        <v>10</v>
      </c>
      <c r="F53" s="6">
        <f>'INGRESOS'!F14</f>
        <v>13</v>
      </c>
      <c r="G53" s="6">
        <f>'INGRESOS'!G14</f>
        <v>17</v>
      </c>
      <c r="H53" s="6">
        <f>'INGRESOS'!H14</f>
        <v>21</v>
      </c>
      <c r="I53" s="6">
        <f>'INGRESOS'!I14</f>
        <v>25</v>
      </c>
      <c r="J53" s="6">
        <f>'INGRESOS'!J14</f>
        <v>30</v>
      </c>
      <c r="K53" s="6">
        <f>'INGRESOS'!K14</f>
        <v>35</v>
      </c>
    </row>
    <row r="54" spans="1:11" ht="18" customHeight="1">
      <c r="A54" s="5" t="s">
        <v>130</v>
      </c>
      <c r="B54" s="10">
        <f>SUM('INGRESOS'!B15:B17)</f>
        <v>1.0</v>
      </c>
      <c r="C54" s="10">
        <f>SUM('INGRESOS'!C15:C17)</f>
        <v>3.0</v>
      </c>
      <c r="D54" s="10">
        <f>SUM('INGRESOS'!D15:D17)</f>
        <v>5.5</v>
      </c>
      <c r="E54" s="10">
        <f>SUM('INGRESOS'!E15:E17)</f>
        <v>8.5</v>
      </c>
      <c r="F54" s="10">
        <f>SUM('INGRESOS'!F15:F17)</f>
        <v>11.5</v>
      </c>
      <c r="G54" s="10">
        <f>SUM('INGRESOS'!G15:G17)</f>
        <v>15.0</v>
      </c>
      <c r="H54" s="10">
        <f>SUM('INGRESOS'!H15:H17)</f>
        <v>19.0</v>
      </c>
      <c r="I54" s="10">
        <f>SUM('INGRESOS'!I15:I17)</f>
        <v>23.0</v>
      </c>
      <c r="J54" s="10">
        <f>SUM('INGRESOS'!J15:J17)</f>
        <v>27.5</v>
      </c>
      <c r="K54" s="10">
        <f>SUM('INGRESOS'!K15:K17)</f>
        <v>32.5</v>
      </c>
    </row>
    <row r="56" spans="1:11" ht="20" customHeight="1">
      <c r="A56" s="3" t="s">
        <v>131</v>
      </c>
      <c r="B56" s="3"/>
      <c r="C56" s="3"/>
      <c r="D56" s="3"/>
      <c r="E56" s="3"/>
      <c r="F56" s="3"/>
      <c r="G56" s="3"/>
      <c r="H56" s="3"/>
      <c r="I56" s="3"/>
      <c r="J56" s="3"/>
      <c r="K56" s="3"/>
    </row>
    <row r="57" spans="1:11" ht="20" customHeight="1">
      <c r="A57" s="4" t="s">
        <v>3</v>
      </c>
      <c r="B57" s="4" t="s">
        <v>4</v>
      </c>
      <c r="C57" s="4" t="s">
        <v>5</v>
      </c>
      <c r="D57" s="4" t="s">
        <v>6</v>
      </c>
      <c r="E57" s="4" t="s">
        <v>7</v>
      </c>
      <c r="F57" s="4" t="s">
        <v>8</v>
      </c>
      <c r="G57" s="4" t="s">
        <v>9</v>
      </c>
      <c r="H57" s="4" t="s">
        <v>10</v>
      </c>
      <c r="I57" s="4" t="s">
        <v>11</v>
      </c>
      <c r="J57" s="4" t="s">
        <v>12</v>
      </c>
      <c r="K57" s="4" t="s">
        <v>13</v>
      </c>
    </row>
    <row r="58" spans="1:11" ht="18" customHeight="1">
      <c r="A58" s="5" t="s">
        <v>132</v>
      </c>
      <c r="B58" s="9">
        <f>B48*$B$126</f>
        <v>77028.0</v>
      </c>
      <c r="C58" s="9">
        <f>C48*$B$126</f>
        <v>89844.84</v>
      </c>
      <c r="D58" s="9">
        <f>D48*$B$126</f>
        <v>105377.92</v>
      </c>
      <c r="E58" s="9">
        <f>E48*$B$126</f>
        <v>120340.71</v>
      </c>
      <c r="F58" s="9">
        <f>F48*$B$126</f>
        <v>115502.19</v>
      </c>
      <c r="G58" s="9">
        <f>G48*$B$126</f>
        <v>183968.95</v>
      </c>
      <c r="H58" s="9">
        <f>H48*$B$126</f>
        <v>186776.6</v>
      </c>
      <c r="I58" s="9">
        <f>I48*$B$126</f>
        <v>186679.6</v>
      </c>
      <c r="J58" s="9">
        <f>J48*$B$126</f>
        <v>257782.91</v>
      </c>
      <c r="K58" s="9">
        <f>K48*$B$126</f>
        <v>263792.5</v>
      </c>
    </row>
    <row r="59" spans="1:11" ht="18" customHeight="1">
      <c r="A59" s="5" t="s">
        <v>133</v>
      </c>
      <c r="B59" s="9">
        <f>B48*$B$127</f>
        <v>179732.0</v>
      </c>
      <c r="C59" s="9">
        <f>C48*$B$127</f>
        <v>209637.96</v>
      </c>
      <c r="D59" s="9">
        <f>D48*$B$127</f>
        <v>245881.82</v>
      </c>
      <c r="E59" s="9">
        <f>E48*$B$127</f>
        <v>280795.0</v>
      </c>
      <c r="F59" s="9">
        <f>F48*$B$127</f>
        <v>269505.11</v>
      </c>
      <c r="G59" s="9">
        <f>G48*$B$127</f>
        <v>429260.89</v>
      </c>
      <c r="H59" s="9">
        <f>H48*$B$127</f>
        <v>435812.06</v>
      </c>
      <c r="I59" s="9">
        <f>I48*$B$127</f>
        <v>435585.73</v>
      </c>
      <c r="J59" s="9">
        <f>J48*$B$127</f>
        <v>601493.45</v>
      </c>
      <c r="K59" s="9">
        <f>K48*$B$127</f>
        <v>615515.84</v>
      </c>
    </row>
    <row r="60" spans="1:11" ht="18" customHeight="1">
      <c r="A60" s="5" t="s">
        <v>134</v>
      </c>
      <c r="B60" s="9">
        <f>B59*$B$128</f>
        <v>152772.2</v>
      </c>
      <c r="C60" s="9">
        <f>C59*$B$128</f>
        <v>178192.27</v>
      </c>
      <c r="D60" s="9">
        <f>D59*$B$128</f>
        <v>208999.55</v>
      </c>
      <c r="E60" s="9">
        <f>E59*$B$128</f>
        <v>238675.75</v>
      </c>
      <c r="F60" s="9">
        <f>F59*$B$128</f>
        <v>229079.34</v>
      </c>
      <c r="G60" s="9">
        <f>G59*$B$128</f>
        <v>364871.75</v>
      </c>
      <c r="H60" s="9">
        <f>H59*$B$128</f>
        <v>370440.25</v>
      </c>
      <c r="I60" s="9">
        <f>I59*$B$128</f>
        <v>370247.87</v>
      </c>
      <c r="J60" s="9">
        <f>J59*$B$128</f>
        <v>511269.43</v>
      </c>
      <c r="K60" s="9">
        <f>K59*$B$128</f>
        <v>523188.47</v>
      </c>
    </row>
    <row r="61" spans="1:11" ht="18" customHeight="1">
      <c r="A61" s="5" t="s">
        <v>135</v>
      </c>
      <c r="B61" s="9">
        <f>0</f>
        <v>0.0</v>
      </c>
      <c r="C61" s="9">
        <f>B63</f>
        <v>26959.8</v>
      </c>
      <c r="D61" s="9">
        <f>C63</f>
        <v>31445.69</v>
      </c>
      <c r="E61" s="9">
        <f>D63</f>
        <v>36882.27</v>
      </c>
      <c r="F61" s="9">
        <f>E63</f>
        <v>42119.25</v>
      </c>
      <c r="G61" s="9">
        <f>F63</f>
        <v>40425.77</v>
      </c>
      <c r="H61" s="9">
        <f>G63</f>
        <v>64389.13</v>
      </c>
      <c r="I61" s="9">
        <f>H63</f>
        <v>65371.81</v>
      </c>
      <c r="J61" s="9">
        <f>I63</f>
        <v>65337.86</v>
      </c>
      <c r="K61" s="9">
        <f>J63</f>
        <v>90224.02</v>
      </c>
    </row>
    <row r="62" spans="1:11" ht="18" customHeight="1">
      <c r="A62" s="8" t="s">
        <v>136</v>
      </c>
      <c r="B62" s="8">
        <f>SUM(B58,B60,B61)</f>
        <v>229800.2</v>
      </c>
      <c r="C62" s="8">
        <f>SUM(C58,C60,C61)</f>
        <v>294996.91</v>
      </c>
      <c r="D62" s="8">
        <f>SUM(D58,D60,D61)</f>
        <v>345823.17</v>
      </c>
      <c r="E62" s="8">
        <f>SUM(E58,E60,E61)</f>
        <v>395898.73</v>
      </c>
      <c r="F62" s="8">
        <f>SUM(F58,F60,F61)</f>
        <v>386700.78</v>
      </c>
      <c r="G62" s="8">
        <f>SUM(G58,G60,G61)</f>
        <v>589266.47</v>
      </c>
      <c r="H62" s="8">
        <f>SUM(H58,H60,H61)</f>
        <v>621605.98</v>
      </c>
      <c r="I62" s="8">
        <f>SUM(I58,I60,I61)</f>
        <v>622299.28</v>
      </c>
      <c r="J62" s="8">
        <f>SUM(J58,J60,J61)</f>
        <v>834390.2</v>
      </c>
      <c r="K62" s="8">
        <f>SUM(K58,K60,K61)</f>
        <v>877204.99</v>
      </c>
    </row>
    <row r="63" spans="1:11" ht="18" customHeight="1">
      <c r="A63" s="5" t="s">
        <v>137</v>
      </c>
      <c r="B63" s="9">
        <f>B59*(1-$B$128)</f>
        <v>26959.8</v>
      </c>
      <c r="C63" s="9">
        <f>C59*(1-$B$128)</f>
        <v>31445.69</v>
      </c>
      <c r="D63" s="9">
        <f>D59*(1-$B$128)</f>
        <v>36882.27</v>
      </c>
      <c r="E63" s="9">
        <f>E59*(1-$B$128)</f>
        <v>42119.25</v>
      </c>
      <c r="F63" s="9">
        <f>F59*(1-$B$128)</f>
        <v>40425.77</v>
      </c>
      <c r="G63" s="9">
        <f>G59*(1-$B$128)</f>
        <v>64389.13</v>
      </c>
      <c r="H63" s="9">
        <f>H59*(1-$B$128)</f>
        <v>65371.81</v>
      </c>
      <c r="I63" s="9">
        <f>I59*(1-$B$128)</f>
        <v>65337.86</v>
      </c>
      <c r="J63" s="9">
        <f>J59*(1-$B$128)</f>
        <v>90224.02</v>
      </c>
      <c r="K63" s="9">
        <f>K59*(1-$B$128)</f>
        <v>92327.38</v>
      </c>
    </row>
    <row r="65" spans="1:12" ht="20" customHeight="1">
      <c r="A65" s="3" t="s">
        <v>138</v>
      </c>
      <c r="B65" s="3"/>
      <c r="C65" s="3"/>
      <c r="D65" s="3"/>
      <c r="E65" s="3"/>
      <c r="F65" s="3"/>
      <c r="G65" s="3"/>
      <c r="H65" s="3"/>
      <c r="I65" s="3"/>
      <c r="J65" s="3"/>
      <c r="K65" s="3"/>
    </row>
    <row r="66" spans="1:12" ht="20" customHeight="1">
      <c r="A66" s="4" t="s">
        <v>3</v>
      </c>
      <c r="B66" s="4" t="s">
        <v>4</v>
      </c>
      <c r="C66" s="4" t="s">
        <v>5</v>
      </c>
      <c r="D66" s="4" t="s">
        <v>6</v>
      </c>
      <c r="E66" s="4" t="s">
        <v>7</v>
      </c>
      <c r="F66" s="4" t="s">
        <v>8</v>
      </c>
      <c r="G66" s="4" t="s">
        <v>9</v>
      </c>
      <c r="H66" s="4" t="s">
        <v>10</v>
      </c>
      <c r="I66" s="4" t="s">
        <v>11</v>
      </c>
      <c r="J66" s="4" t="s">
        <v>12</v>
      </c>
      <c r="K66" s="4" t="s">
        <v>13</v>
      </c>
    </row>
    <row r="67" spans="1:12" ht="18" customHeight="1">
      <c r="A67" s="5" t="s">
        <v>139</v>
      </c>
      <c r="B67" s="9">
        <f>$H$138*(1+$D$143)^0</f>
        <v>10400.0</v>
      </c>
      <c r="C67" s="9">
        <f>$H$138*(1+$D$143)^1</f>
        <v>10816.0</v>
      </c>
      <c r="D67" s="9">
        <f>$H$138*(1+$D$143)^2</f>
        <v>11248.64</v>
      </c>
      <c r="E67" s="9">
        <f>$H$138*(1+$D$143)^3</f>
        <v>11698.59</v>
      </c>
      <c r="F67" s="9">
        <f>$H$138*(1+$D$143)^4</f>
        <v>12166.53</v>
      </c>
      <c r="G67" s="9">
        <f>$H$138*(1+$D$143)^5</f>
        <v>12653.19</v>
      </c>
      <c r="H67" s="9">
        <f>$H$138*(1+$D$143)^6</f>
        <v>13159.32</v>
      </c>
      <c r="I67" s="9">
        <f>$H$138*(1+$D$143)^7</f>
        <v>13685.69</v>
      </c>
      <c r="J67" s="9">
        <f>$H$138*(1+$D$143)^8</f>
        <v>14233.12</v>
      </c>
      <c r="K67" s="9">
        <f>$H$138*(1+$D$143)^9</f>
        <v>14802.44</v>
      </c>
    </row>
    <row r="68" spans="1:12" ht="18" customHeight="1">
      <c r="A68" s="5" t="s">
        <v>140</v>
      </c>
      <c r="B68" s="9">
        <f>$H$139*(1+$D$143)^0</f>
        <v>9600.0</v>
      </c>
      <c r="C68" s="9">
        <f>$H$139*(1+$D$143)^1</f>
        <v>9984.0</v>
      </c>
      <c r="D68" s="9">
        <f>$H$139*(1+$D$143)^2</f>
        <v>10383.36</v>
      </c>
      <c r="E68" s="9">
        <f>$H$139*(1+$D$143)^3</f>
        <v>10798.69</v>
      </c>
      <c r="F68" s="9">
        <f>$H$139*(1+$D$143)^4</f>
        <v>11230.64</v>
      </c>
      <c r="G68" s="9">
        <f>$H$139*(1+$D$143)^5</f>
        <v>11679.87</v>
      </c>
      <c r="H68" s="9">
        <f>$H$139*(1+$D$143)^6</f>
        <v>12147.06</v>
      </c>
      <c r="I68" s="9">
        <f>$H$139*(1+$D$143)^7</f>
        <v>12632.95</v>
      </c>
      <c r="J68" s="9">
        <f>$H$139*(1+$D$143)^8</f>
        <v>13138.26</v>
      </c>
      <c r="K68" s="9">
        <f>$H$139*(1+$D$143)^9</f>
        <v>13663.79</v>
      </c>
    </row>
    <row r="69" spans="1:12" ht="18" customHeight="1">
      <c r="A69" s="5" t="s">
        <v>141</v>
      </c>
      <c r="B69" s="9">
        <f>IF(1&lt;$C$143,0,$B$143*(1+$D$143)^(1-$C$143))</f>
        <v>0.0</v>
      </c>
      <c r="C69" s="9">
        <f>IF(2&lt;$C$143,0,$B$143*(1+$D$143)^(2-$C$143))</f>
        <v>9000.0</v>
      </c>
      <c r="D69" s="9">
        <f>IF(3&lt;$C$143,0,$B$143*(1+$D$143)^(3-$C$143))</f>
        <v>9360.0</v>
      </c>
      <c r="E69" s="9">
        <f>IF(4&lt;$C$143,0,$B$143*(1+$D$143)^(4-$C$143))</f>
        <v>9734.4</v>
      </c>
      <c r="F69" s="9">
        <f>IF(5&lt;$C$143,0,$B$143*(1+$D$143)^(5-$C$143))</f>
        <v>10123.78</v>
      </c>
      <c r="G69" s="9">
        <f>IF(6&lt;$C$143,0,$B$143*(1+$D$143)^(6-$C$143))</f>
        <v>10528.73</v>
      </c>
      <c r="H69" s="9">
        <f>IF(7&lt;$C$143,0,$B$143*(1+$D$143)^(7-$C$143))</f>
        <v>10949.88</v>
      </c>
      <c r="I69" s="9">
        <f>IF(8&lt;$C$143,0,$B$143*(1+$D$143)^(8-$C$143))</f>
        <v>11387.87</v>
      </c>
      <c r="J69" s="9">
        <f>IF(9&lt;$C$143,0,$B$143*(1+$D$143)^(9-$C$143))</f>
        <v>11843.39</v>
      </c>
      <c r="K69" s="9">
        <f>IF(10&lt;$C$143,0,$B$143*(1+$D$143)^(10-$C$143))</f>
        <v>12317.12</v>
      </c>
    </row>
    <row r="70" spans="1:12" ht="18" customHeight="1">
      <c r="A70" s="5" t="s">
        <v>142</v>
      </c>
      <c r="B70" s="9">
        <f>IF(1&lt;$C$144,0,$B$144*(1+$D$144)^(1-$C$144))</f>
        <v>3800.0</v>
      </c>
      <c r="C70" s="9">
        <f>IF(2&lt;$C$144,0,$B$144*(1+$D$144)^(2-$C$144))</f>
        <v>3952.0</v>
      </c>
      <c r="D70" s="9">
        <f>IF(3&lt;$C$144,0,$B$144*(1+$D$144)^(3-$C$144))</f>
        <v>4110.08</v>
      </c>
      <c r="E70" s="9">
        <f>IF(4&lt;$C$144,0,$B$144*(1+$D$144)^(4-$C$144))</f>
        <v>4274.48</v>
      </c>
      <c r="F70" s="9">
        <f>IF(5&lt;$C$144,0,$B$144*(1+$D$144)^(5-$C$144))</f>
        <v>4445.46</v>
      </c>
      <c r="G70" s="9">
        <f>IF(6&lt;$C$144,0,$B$144*(1+$D$144)^(6-$C$144))</f>
        <v>4623.28</v>
      </c>
      <c r="H70" s="9">
        <f>IF(7&lt;$C$144,0,$B$144*(1+$D$144)^(7-$C$144))</f>
        <v>4808.21</v>
      </c>
      <c r="I70" s="9">
        <f>IF(8&lt;$C$144,0,$B$144*(1+$D$144)^(8-$C$144))</f>
        <v>5000.54</v>
      </c>
      <c r="J70" s="9">
        <f>IF(9&lt;$C$144,0,$B$144*(1+$D$144)^(9-$C$144))</f>
        <v>5200.56</v>
      </c>
      <c r="K70" s="9">
        <f>IF(10&lt;$C$144,0,$B$144*(1+$D$144)^(10-$C$144))</f>
        <v>5408.58</v>
      </c>
    </row>
    <row r="71" spans="1:12" ht="18" customHeight="1">
      <c r="A71" s="5" t="s">
        <v>143</v>
      </c>
      <c r="B71" s="9">
        <f>IF(1&lt;$C$145,0,$B$145*(1+$D$145)^(1-$C$145))</f>
        <v>4500.0</v>
      </c>
      <c r="C71" s="9">
        <f>IF(2&lt;$C$145,0,$B$145*(1+$D$145)^(2-$C$145))</f>
        <v>4680.0</v>
      </c>
      <c r="D71" s="9">
        <f>IF(3&lt;$C$145,0,$B$145*(1+$D$145)^(3-$C$145))</f>
        <v>4867.2</v>
      </c>
      <c r="E71" s="9">
        <f>IF(4&lt;$C$145,0,$B$145*(1+$D$145)^(4-$C$145))</f>
        <v>5061.89</v>
      </c>
      <c r="F71" s="9">
        <f>IF(5&lt;$C$145,0,$B$145*(1+$D$145)^(5-$C$145))</f>
        <v>5264.36</v>
      </c>
      <c r="G71" s="9">
        <f>IF(6&lt;$C$145,0,$B$145*(1+$D$145)^(6-$C$145))</f>
        <v>5474.94</v>
      </c>
      <c r="H71" s="9">
        <f>IF(7&lt;$C$145,0,$B$145*(1+$D$145)^(7-$C$145))</f>
        <v>5693.94</v>
      </c>
      <c r="I71" s="9">
        <f>IF(8&lt;$C$145,0,$B$145*(1+$D$145)^(8-$C$145))</f>
        <v>5921.69</v>
      </c>
      <c r="J71" s="9">
        <f>IF(9&lt;$C$145,0,$B$145*(1+$D$145)^(9-$C$145))</f>
        <v>6158.56</v>
      </c>
      <c r="K71" s="9">
        <f>IF(10&lt;$C$145,0,$B$145*(1+$D$145)^(10-$C$145))</f>
        <v>6404.9</v>
      </c>
    </row>
    <row r="72" spans="1:12" ht="18" customHeight="1">
      <c r="A72" s="5" t="s">
        <v>144</v>
      </c>
      <c r="B72" s="9">
        <f>'DEPRECIACIONES AMORTIZACION'!B104</f>
        <v>14374.8</v>
      </c>
      <c r="C72" s="9">
        <f>'DEPRECIACIONES AMORTIZACION'!C104</f>
        <v>14374.8</v>
      </c>
      <c r="D72" s="9">
        <f>'DEPRECIACIONES AMORTIZACION'!D104</f>
        <v>14374.8</v>
      </c>
      <c r="E72" s="9">
        <f>'DEPRECIACIONES AMORTIZACION'!E104</f>
        <v>14374.8</v>
      </c>
      <c r="F72" s="9">
        <f>'DEPRECIACIONES AMORTIZACION'!F104</f>
        <v>7246.8</v>
      </c>
      <c r="G72" s="9">
        <f>'DEPRECIACIONES AMORTIZACION'!G104</f>
        <v>1069.2</v>
      </c>
      <c r="H72" s="9">
        <f>'DEPRECIACIONES AMORTIZACION'!H104</f>
        <v>1069.2</v>
      </c>
      <c r="I72" s="9">
        <f>'DEPRECIACIONES AMORTIZACION'!I104</f>
        <v>1069.2</v>
      </c>
      <c r="J72" s="9">
        <f>'DEPRECIACIONES AMORTIZACION'!J104</f>
        <v>1069.2</v>
      </c>
      <c r="K72" s="9">
        <f>'DEPRECIACIONES AMORTIZACION'!K104</f>
        <v>1069.2</v>
      </c>
    </row>
    <row r="73" spans="1:12" ht="18" customHeight="1">
      <c r="A73" s="8" t="s">
        <v>145</v>
      </c>
      <c r="B73" s="8">
        <f>SUM(B67:B72)</f>
        <v>42674.8</v>
      </c>
      <c r="C73" s="8">
        <f>SUM(C67:C72)</f>
        <v>52806.8</v>
      </c>
      <c r="D73" s="8">
        <f>SUM(D67:D72)</f>
        <v>54344.08</v>
      </c>
      <c r="E73" s="8">
        <f>SUM(E67:E72)</f>
        <v>55942.85</v>
      </c>
      <c r="F73" s="8">
        <f>SUM(F67:F72)</f>
        <v>50477.57</v>
      </c>
      <c r="G73" s="8">
        <f>SUM(G67:G72)</f>
        <v>46029.2</v>
      </c>
      <c r="H73" s="8">
        <f>SUM(H67:H72)</f>
        <v>47827.6</v>
      </c>
      <c r="I73" s="8">
        <f>SUM(I67:I72)</f>
        <v>49697.94</v>
      </c>
      <c r="J73" s="8">
        <f>SUM(J67:J72)</f>
        <v>51643.09</v>
      </c>
      <c r="K73" s="8">
        <f>SUM(K67:K72)</f>
        <v>53666.05</v>
      </c>
    </row>
    <row r="76" spans="1:12" ht="20" customHeight="1">
      <c r="A76" s="3" t="s">
        <v>146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</row>
    <row r="77" spans="1:12" ht="18" customHeight="1">
      <c r="A77" s="4" t="s">
        <v>3</v>
      </c>
      <c r="B77" s="4" t="s">
        <v>147</v>
      </c>
      <c r="C77" s="4" t="s">
        <v>148</v>
      </c>
      <c r="D77" s="4" t="s">
        <v>149</v>
      </c>
      <c r="E77" s="4" t="s">
        <v>150</v>
      </c>
      <c r="F77" s="4" t="s">
        <v>151</v>
      </c>
      <c r="G77" s="4" t="s">
        <v>152</v>
      </c>
      <c r="H77" s="4" t="s">
        <v>153</v>
      </c>
      <c r="I77" s="4" t="s">
        <v>154</v>
      </c>
      <c r="J77" s="4" t="s">
        <v>155</v>
      </c>
      <c r="K77" s="4" t="s">
        <v>156</v>
      </c>
      <c r="L77" s="4" t="s">
        <v>157</v>
      </c>
    </row>
    <row r="78" spans="1:12" ht="18" customHeight="1">
      <c r="A78" s="5" t="s">
        <v>86</v>
      </c>
      <c r="B78" s="12" t="s">
        <v>158</v>
      </c>
      <c r="C78" s="10">
        <v>10</v>
      </c>
      <c r="D78" s="9">
        <v>30</v>
      </c>
      <c r="E78" s="9">
        <f>C78*D78</f>
        <v>300.0</v>
      </c>
      <c r="F78" s="10">
        <v>22</v>
      </c>
      <c r="G78" s="9">
        <v>30</v>
      </c>
      <c r="H78" s="9">
        <f>F78*G78</f>
        <v>660.0</v>
      </c>
      <c r="I78" s="10">
        <v>40</v>
      </c>
      <c r="J78" s="9">
        <v>30</v>
      </c>
      <c r="K78" s="9">
        <f>I78*J78</f>
        <v>1200.0</v>
      </c>
      <c r="L78" s="13" t="s">
        <v>159</v>
      </c>
    </row>
    <row r="79" spans="1:12" ht="18" customHeight="1">
      <c r="A79" s="5" t="s">
        <v>87</v>
      </c>
      <c r="B79" s="12" t="s">
        <v>158</v>
      </c>
      <c r="C79" s="10">
        <v>10</v>
      </c>
      <c r="D79" s="9">
        <v>3.5</v>
      </c>
      <c r="E79" s="9">
        <f>C79*D79</f>
        <v>35.0</v>
      </c>
      <c r="F79" s="10">
        <v>22</v>
      </c>
      <c r="G79" s="9">
        <v>3.5</v>
      </c>
      <c r="H79" s="9">
        <f>F79*G79</f>
        <v>77.0</v>
      </c>
      <c r="I79" s="10">
        <v>40</v>
      </c>
      <c r="J79" s="9">
        <v>3.5</v>
      </c>
      <c r="K79" s="9">
        <f>I79*J79</f>
        <v>140.0</v>
      </c>
      <c r="L79" s="13" t="s">
        <v>160</v>
      </c>
    </row>
    <row r="80" spans="1:12" ht="18" customHeight="1">
      <c r="A80" s="5" t="s">
        <v>88</v>
      </c>
      <c r="B80" s="12" t="s">
        <v>158</v>
      </c>
      <c r="C80" s="10">
        <v>10</v>
      </c>
      <c r="D80" s="9">
        <v>2</v>
      </c>
      <c r="E80" s="9">
        <f>C80*D80</f>
        <v>20.0</v>
      </c>
      <c r="F80" s="10">
        <v>22</v>
      </c>
      <c r="G80" s="9">
        <v>2</v>
      </c>
      <c r="H80" s="9">
        <f>F80*G80</f>
        <v>44.0</v>
      </c>
      <c r="I80" s="10">
        <v>40</v>
      </c>
      <c r="J80" s="9">
        <v>2</v>
      </c>
      <c r="K80" s="9">
        <f>I80*J80</f>
        <v>80.0</v>
      </c>
      <c r="L80" s="13" t="s">
        <v>161</v>
      </c>
    </row>
    <row r="81" spans="1:12" ht="18" customHeight="1">
      <c r="A81" s="5" t="s">
        <v>89</v>
      </c>
      <c r="B81" s="12" t="s">
        <v>158</v>
      </c>
      <c r="C81" s="10">
        <v>0</v>
      </c>
      <c r="D81" s="9">
        <v>600</v>
      </c>
      <c r="E81" s="9">
        <f>C81*D81</f>
        <v>0.0</v>
      </c>
      <c r="F81" s="10">
        <v>1</v>
      </c>
      <c r="G81" s="9">
        <v>600</v>
      </c>
      <c r="H81" s="9">
        <f>F81*G81</f>
        <v>600.0</v>
      </c>
      <c r="I81" s="10">
        <v>2</v>
      </c>
      <c r="J81" s="9">
        <v>600</v>
      </c>
      <c r="K81" s="9">
        <f>I81*J81</f>
        <v>1200.0</v>
      </c>
      <c r="L81" s="13" t="s">
        <v>162</v>
      </c>
    </row>
    <row r="82" spans="1:12" ht="18" customHeight="1">
      <c r="A82" s="5" t="s">
        <v>90</v>
      </c>
      <c r="B82" s="12" t="s">
        <v>158</v>
      </c>
      <c r="C82" s="10">
        <v>0</v>
      </c>
      <c r="D82" s="9">
        <v>75</v>
      </c>
      <c r="E82" s="9">
        <f>C82*D82</f>
        <v>0.0</v>
      </c>
      <c r="F82" s="10">
        <v>1</v>
      </c>
      <c r="G82" s="9">
        <v>75</v>
      </c>
      <c r="H82" s="9">
        <f>F82*G82</f>
        <v>75.0</v>
      </c>
      <c r="I82" s="10">
        <v>2</v>
      </c>
      <c r="J82" s="9">
        <v>75</v>
      </c>
      <c r="K82" s="9">
        <f>I82*J82</f>
        <v>150.0</v>
      </c>
      <c r="L82" s="13" t="s">
        <v>163</v>
      </c>
    </row>
    <row r="83" spans="1:12" ht="18" customHeight="1">
      <c r="A83" s="5" t="s">
        <v>91</v>
      </c>
      <c r="B83" s="12" t="s">
        <v>158</v>
      </c>
      <c r="C83" s="10">
        <v>0</v>
      </c>
      <c r="D83" s="9">
        <v>30</v>
      </c>
      <c r="E83" s="9">
        <f>C83*D83</f>
        <v>0.0</v>
      </c>
      <c r="F83" s="10">
        <v>1</v>
      </c>
      <c r="G83" s="9">
        <v>30</v>
      </c>
      <c r="H83" s="9">
        <f>F83*G83</f>
        <v>30.0</v>
      </c>
      <c r="I83" s="10">
        <v>2</v>
      </c>
      <c r="J83" s="9">
        <v>30</v>
      </c>
      <c r="K83" s="9">
        <f>I83*J83</f>
        <v>60.0</v>
      </c>
      <c r="L83" s="13" t="s">
        <v>164</v>
      </c>
    </row>
    <row r="84" spans="1:12" ht="18" customHeight="1">
      <c r="A84" s="5" t="s">
        <v>92</v>
      </c>
      <c r="B84" s="12" t="s">
        <v>158</v>
      </c>
      <c r="C84" s="10">
        <v>0</v>
      </c>
      <c r="D84" s="9">
        <v>30</v>
      </c>
      <c r="E84" s="9">
        <f>C84*D84</f>
        <v>0.0</v>
      </c>
      <c r="F84" s="10">
        <v>1</v>
      </c>
      <c r="G84" s="9">
        <v>30</v>
      </c>
      <c r="H84" s="9">
        <f>F84*G84</f>
        <v>30.0</v>
      </c>
      <c r="I84" s="10">
        <v>2</v>
      </c>
      <c r="J84" s="9">
        <v>30</v>
      </c>
      <c r="K84" s="9">
        <f>I84*J84</f>
        <v>60.0</v>
      </c>
      <c r="L84" s="13" t="s">
        <v>165</v>
      </c>
    </row>
    <row r="85" spans="1:12" ht="18" customHeight="1">
      <c r="A85" s="5" t="s">
        <v>93</v>
      </c>
      <c r="B85" s="12" t="s">
        <v>166</v>
      </c>
      <c r="C85" s="10">
        <v>1</v>
      </c>
      <c r="D85" s="9">
        <v>100</v>
      </c>
      <c r="E85" s="9">
        <f>C85*D85</f>
        <v>100.0</v>
      </c>
      <c r="F85" s="10">
        <v>2</v>
      </c>
      <c r="G85" s="9">
        <v>100</v>
      </c>
      <c r="H85" s="9">
        <f>F85*G85</f>
        <v>200.0</v>
      </c>
      <c r="I85" s="10">
        <v>3</v>
      </c>
      <c r="J85" s="9">
        <v>100</v>
      </c>
      <c r="K85" s="9">
        <f>I85*J85</f>
        <v>300.0</v>
      </c>
      <c r="L85" s="13" t="s">
        <v>167</v>
      </c>
    </row>
    <row r="86" spans="1:12" ht="18" customHeight="1">
      <c r="A86" s="5" t="s">
        <v>94</v>
      </c>
      <c r="B86" s="12" t="s">
        <v>158</v>
      </c>
      <c r="C86" s="10">
        <v>5</v>
      </c>
      <c r="D86" s="9">
        <v>80</v>
      </c>
      <c r="E86" s="9">
        <f>C86*D86</f>
        <v>400.0</v>
      </c>
      <c r="F86" s="10">
        <v>10</v>
      </c>
      <c r="G86" s="9">
        <v>80</v>
      </c>
      <c r="H86" s="9">
        <f>F86*G86</f>
        <v>800.0</v>
      </c>
      <c r="I86" s="10">
        <v>18</v>
      </c>
      <c r="J86" s="9">
        <v>80</v>
      </c>
      <c r="K86" s="9">
        <f>I86*J86</f>
        <v>1440.0</v>
      </c>
      <c r="L86" s="13" t="s">
        <v>168</v>
      </c>
    </row>
    <row r="87" spans="1:12" ht="18" customHeight="1">
      <c r="A87" s="5" t="s">
        <v>95</v>
      </c>
      <c r="B87" s="12" t="s">
        <v>169</v>
      </c>
      <c r="C87" s="10">
        <v>20</v>
      </c>
      <c r="D87" s="9">
        <v>100</v>
      </c>
      <c r="E87" s="9">
        <f>C87*D87</f>
        <v>2000.0</v>
      </c>
      <c r="F87" s="10">
        <v>40</v>
      </c>
      <c r="G87" s="9">
        <v>100</v>
      </c>
      <c r="H87" s="9">
        <f>F87*G87</f>
        <v>4000.0</v>
      </c>
      <c r="I87" s="10">
        <v>80</v>
      </c>
      <c r="J87" s="9">
        <v>100</v>
      </c>
      <c r="K87" s="9">
        <f>I87*J87</f>
        <v>8000.0</v>
      </c>
      <c r="L87" s="13" t="s">
        <v>170</v>
      </c>
    </row>
    <row r="88" spans="1:12" ht="18" customHeight="1">
      <c r="A88" s="5" t="s">
        <v>96</v>
      </c>
      <c r="B88" s="12" t="s">
        <v>169</v>
      </c>
      <c r="C88" s="10">
        <v>15</v>
      </c>
      <c r="D88" s="9">
        <v>100</v>
      </c>
      <c r="E88" s="9">
        <f>C88*D88</f>
        <v>1500.0</v>
      </c>
      <c r="F88" s="10">
        <v>30</v>
      </c>
      <c r="G88" s="9">
        <v>100</v>
      </c>
      <c r="H88" s="9">
        <f>F88*G88</f>
        <v>3000.0</v>
      </c>
      <c r="I88" s="10">
        <v>60</v>
      </c>
      <c r="J88" s="9">
        <v>100</v>
      </c>
      <c r="K88" s="9">
        <f>I88*J88</f>
        <v>6000.0</v>
      </c>
      <c r="L88" s="13" t="s">
        <v>171</v>
      </c>
    </row>
    <row r="89" spans="1:12" ht="18" customHeight="1">
      <c r="A89" s="5" t="s">
        <v>97</v>
      </c>
      <c r="B89" s="12" t="s">
        <v>169</v>
      </c>
      <c r="C89" s="10">
        <v>15</v>
      </c>
      <c r="D89" s="9">
        <v>100</v>
      </c>
      <c r="E89" s="9">
        <f>C89*D89</f>
        <v>1500.0</v>
      </c>
      <c r="F89" s="10">
        <v>30</v>
      </c>
      <c r="G89" s="9">
        <v>100</v>
      </c>
      <c r="H89" s="9">
        <f>F89*G89</f>
        <v>3000.0</v>
      </c>
      <c r="I89" s="10">
        <v>60</v>
      </c>
      <c r="J89" s="9">
        <v>100</v>
      </c>
      <c r="K89" s="9">
        <f>I89*J89</f>
        <v>6000.0</v>
      </c>
      <c r="L89" s="13" t="s">
        <v>172</v>
      </c>
    </row>
    <row r="90" spans="1:12" ht="18" customHeight="1">
      <c r="A90" s="5" t="s">
        <v>98</v>
      </c>
      <c r="B90" s="12" t="s">
        <v>169</v>
      </c>
      <c r="C90" s="10">
        <v>40</v>
      </c>
      <c r="D90" s="9">
        <v>100</v>
      </c>
      <c r="E90" s="9">
        <f>C90*D90</f>
        <v>4000.0</v>
      </c>
      <c r="F90" s="10">
        <v>80</v>
      </c>
      <c r="G90" s="9">
        <v>100</v>
      </c>
      <c r="H90" s="9">
        <f>F90*G90</f>
        <v>8000.0</v>
      </c>
      <c r="I90" s="10">
        <v>150</v>
      </c>
      <c r="J90" s="9">
        <v>100</v>
      </c>
      <c r="K90" s="9">
        <f>I90*J90</f>
        <v>15000.0</v>
      </c>
      <c r="L90" s="13" t="s">
        <v>173</v>
      </c>
    </row>
    <row r="91" spans="1:12" ht="18" customHeight="1">
      <c r="A91" s="5" t="s">
        <v>99</v>
      </c>
      <c r="B91" s="12" t="s">
        <v>169</v>
      </c>
      <c r="C91" s="10">
        <v>60</v>
      </c>
      <c r="D91" s="9">
        <v>100</v>
      </c>
      <c r="E91" s="9">
        <f>C91*D91</f>
        <v>6000.0</v>
      </c>
      <c r="F91" s="10">
        <v>120</v>
      </c>
      <c r="G91" s="9">
        <v>100</v>
      </c>
      <c r="H91" s="9">
        <f>F91*G91</f>
        <v>12000.0</v>
      </c>
      <c r="I91" s="10">
        <v>220</v>
      </c>
      <c r="J91" s="9">
        <v>100</v>
      </c>
      <c r="K91" s="9">
        <f>I91*J91</f>
        <v>22000.0</v>
      </c>
      <c r="L91" s="13" t="s">
        <v>174</v>
      </c>
    </row>
    <row r="92" spans="1:12" ht="18" customHeight="1">
      <c r="A92" s="5" t="s">
        <v>100</v>
      </c>
      <c r="B92" s="12" t="s">
        <v>169</v>
      </c>
      <c r="C92" s="10">
        <v>20</v>
      </c>
      <c r="D92" s="9">
        <v>100</v>
      </c>
      <c r="E92" s="9">
        <f>C92*D92</f>
        <v>2000.0</v>
      </c>
      <c r="F92" s="10">
        <v>40</v>
      </c>
      <c r="G92" s="9">
        <v>100</v>
      </c>
      <c r="H92" s="9">
        <f>F92*G92</f>
        <v>4000.0</v>
      </c>
      <c r="I92" s="10">
        <v>80</v>
      </c>
      <c r="J92" s="9">
        <v>100</v>
      </c>
      <c r="K92" s="9">
        <f>I92*J92</f>
        <v>8000.0</v>
      </c>
      <c r="L92" s="13" t="s">
        <v>175</v>
      </c>
    </row>
    <row r="93" spans="1:12" ht="18" customHeight="1">
      <c r="A93" s="5" t="s">
        <v>101</v>
      </c>
      <c r="B93" s="12" t="s">
        <v>169</v>
      </c>
      <c r="C93" s="10">
        <v>16</v>
      </c>
      <c r="D93" s="9">
        <v>100</v>
      </c>
      <c r="E93" s="9">
        <f>C93*D93</f>
        <v>1600.0</v>
      </c>
      <c r="F93" s="10">
        <v>32</v>
      </c>
      <c r="G93" s="9">
        <v>100</v>
      </c>
      <c r="H93" s="9">
        <f>F93*G93</f>
        <v>3200.0</v>
      </c>
      <c r="I93" s="10">
        <v>60</v>
      </c>
      <c r="J93" s="9">
        <v>100</v>
      </c>
      <c r="K93" s="9">
        <f>I93*J93</f>
        <v>6000.0</v>
      </c>
      <c r="L93" s="13" t="s">
        <v>176</v>
      </c>
    </row>
    <row r="94" spans="1:12" ht="18" customHeight="1">
      <c r="A94" s="5" t="s">
        <v>102</v>
      </c>
      <c r="B94" s="12" t="s">
        <v>169</v>
      </c>
      <c r="C94" s="10">
        <v>12</v>
      </c>
      <c r="D94" s="9">
        <v>100</v>
      </c>
      <c r="E94" s="9">
        <f>C94*D94</f>
        <v>1200.0</v>
      </c>
      <c r="F94" s="10">
        <v>24</v>
      </c>
      <c r="G94" s="9">
        <v>100</v>
      </c>
      <c r="H94" s="9">
        <f>F94*G94</f>
        <v>2400.0</v>
      </c>
      <c r="I94" s="10">
        <v>40</v>
      </c>
      <c r="J94" s="9">
        <v>100</v>
      </c>
      <c r="K94" s="9">
        <f>I94*J94</f>
        <v>4000.0</v>
      </c>
      <c r="L94" s="13" t="s">
        <v>177</v>
      </c>
    </row>
    <row r="95" spans="1:12" ht="18" customHeight="1">
      <c r="A95" s="5" t="s">
        <v>103</v>
      </c>
      <c r="B95" s="12" t="s">
        <v>178</v>
      </c>
      <c r="C95" s="10">
        <v>1</v>
      </c>
      <c r="D95" s="9">
        <v>2000</v>
      </c>
      <c r="E95" s="9">
        <f>C95*D95</f>
        <v>2000.0</v>
      </c>
      <c r="F95" s="10">
        <v>1</v>
      </c>
      <c r="G95" s="9">
        <v>4000</v>
      </c>
      <c r="H95" s="9">
        <f>F95*G95</f>
        <v>4000.0</v>
      </c>
      <c r="I95" s="10">
        <v>1</v>
      </c>
      <c r="J95" s="9">
        <v>8000</v>
      </c>
      <c r="K95" s="9">
        <f>I95*J95</f>
        <v>8000.0</v>
      </c>
      <c r="L95" s="13" t="s">
        <v>179</v>
      </c>
    </row>
    <row r="96" spans="1:12" ht="18" customHeight="1">
      <c r="A96" s="5" t="s">
        <v>104</v>
      </c>
      <c r="B96" s="12" t="s">
        <v>178</v>
      </c>
      <c r="C96" s="10">
        <v>1</v>
      </c>
      <c r="D96" s="9">
        <v>2220.75</v>
      </c>
      <c r="E96" s="9">
        <f>C96*D96</f>
        <v>2220.75</v>
      </c>
      <c r="F96" s="10">
        <v>1</v>
      </c>
      <c r="G96" s="9">
        <v>4159.4</v>
      </c>
      <c r="H96" s="9">
        <f>F96*G96</f>
        <v>4159.4</v>
      </c>
      <c r="I96" s="10">
        <v>1</v>
      </c>
      <c r="J96" s="9">
        <v>8179.5</v>
      </c>
      <c r="K96" s="9">
        <f>I96*J96</f>
        <v>8179.5</v>
      </c>
      <c r="L96" s="13" t="s">
        <v>180</v>
      </c>
    </row>
    <row r="97" spans="1:12" ht="18" customHeight="1">
      <c r="A97" s="5" t="s">
        <v>105</v>
      </c>
      <c r="B97" s="12" t="s">
        <v>178</v>
      </c>
      <c r="C97" s="10">
        <v>1</v>
      </c>
      <c r="D97" s="9">
        <v>1586.25</v>
      </c>
      <c r="E97" s="9">
        <f>C97*D97</f>
        <v>1586.25</v>
      </c>
      <c r="F97" s="10">
        <v>1</v>
      </c>
      <c r="G97" s="9">
        <v>2971</v>
      </c>
      <c r="H97" s="9">
        <f>F97*G97</f>
        <v>2971.0</v>
      </c>
      <c r="I97" s="10">
        <v>1</v>
      </c>
      <c r="J97" s="9">
        <v>5842.5</v>
      </c>
      <c r="K97" s="9">
        <f>I97*J97</f>
        <v>5842.5</v>
      </c>
      <c r="L97" s="13" t="s">
        <v>181</v>
      </c>
    </row>
    <row r="98" spans="1:12" ht="18" customHeight="1">
      <c r="A98" s="5" t="s">
        <v>106</v>
      </c>
      <c r="B98" s="12" t="s">
        <v>178</v>
      </c>
      <c r="C98" s="10">
        <v>1</v>
      </c>
      <c r="D98" s="9">
        <v>1269</v>
      </c>
      <c r="E98" s="9">
        <f>C98*D98</f>
        <v>1269.0</v>
      </c>
      <c r="F98" s="10">
        <v>1</v>
      </c>
      <c r="G98" s="9">
        <v>2376.8</v>
      </c>
      <c r="H98" s="9">
        <f>F98*G98</f>
        <v>2376.8</v>
      </c>
      <c r="I98" s="10">
        <v>1</v>
      </c>
      <c r="J98" s="9">
        <v>4674</v>
      </c>
      <c r="K98" s="9">
        <f>I98*J98</f>
        <v>4674.0</v>
      </c>
      <c r="L98" s="13" t="s">
        <v>182</v>
      </c>
    </row>
    <row r="99" spans="1:12" ht="18" customHeight="1">
      <c r="A99" s="5" t="s">
        <v>107</v>
      </c>
      <c r="B99" s="12" t="s">
        <v>178</v>
      </c>
      <c r="C99" s="10">
        <v>1</v>
      </c>
      <c r="D99" s="9">
        <v>1269</v>
      </c>
      <c r="E99" s="9">
        <f>C99*D99</f>
        <v>1269.0</v>
      </c>
      <c r="F99" s="10">
        <v>1</v>
      </c>
      <c r="G99" s="9">
        <v>2376.8</v>
      </c>
      <c r="H99" s="9">
        <f>F99*G99</f>
        <v>2376.8</v>
      </c>
      <c r="I99" s="10">
        <v>1</v>
      </c>
      <c r="J99" s="9">
        <v>4674</v>
      </c>
      <c r="K99" s="9">
        <f>I99*J99</f>
        <v>4674.0</v>
      </c>
      <c r="L99" s="13" t="s">
        <v>183</v>
      </c>
    </row>
    <row r="100" spans="1:12" ht="18" customHeight="1">
      <c r="A100" s="8" t="s">
        <v>184</v>
      </c>
      <c r="E100" s="8">
        <f>SUM(E78:E99)</f>
        <v>29000</v>
      </c>
      <c r="H100" s="8">
        <f>SUM(H78:H99)</f>
        <v>58000</v>
      </c>
      <c r="K100" s="8">
        <f>SUM(K78:K99)</f>
        <v>111000</v>
      </c>
    </row>
    <row r="102" spans="1:12" ht="20" customHeight="1">
      <c r="A102" s="3" t="s">
        <v>185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</row>
    <row r="103" spans="1:12" ht="18" customHeight="1">
      <c r="A103" s="4" t="s">
        <v>3</v>
      </c>
      <c r="B103" s="4" t="s">
        <v>147</v>
      </c>
      <c r="C103" s="4" t="s">
        <v>148</v>
      </c>
      <c r="D103" s="4" t="s">
        <v>149</v>
      </c>
      <c r="E103" s="4" t="s">
        <v>150</v>
      </c>
      <c r="F103" s="4" t="s">
        <v>151</v>
      </c>
      <c r="G103" s="4" t="s">
        <v>152</v>
      </c>
      <c r="H103" s="4" t="s">
        <v>153</v>
      </c>
      <c r="I103" s="4" t="s">
        <v>154</v>
      </c>
      <c r="J103" s="4" t="s">
        <v>155</v>
      </c>
      <c r="K103" s="4" t="s">
        <v>156</v>
      </c>
      <c r="L103" s="4" t="s">
        <v>157</v>
      </c>
    </row>
    <row r="104" spans="1:12" ht="18" customHeight="1">
      <c r="A104" s="5" t="s">
        <v>110</v>
      </c>
      <c r="B104" s="12" t="s">
        <v>186</v>
      </c>
      <c r="C104" s="10">
        <v>1</v>
      </c>
      <c r="D104" s="9">
        <v>600</v>
      </c>
      <c r="E104" s="9">
        <f>C104*D104</f>
        <v>600.0</v>
      </c>
      <c r="F104" s="10">
        <v>1</v>
      </c>
      <c r="G104" s="9">
        <v>1200</v>
      </c>
      <c r="H104" s="9">
        <f>F104*G104</f>
        <v>1200.0</v>
      </c>
      <c r="I104" s="10">
        <v>1</v>
      </c>
      <c r="J104" s="9">
        <v>2400</v>
      </c>
      <c r="K104" s="9">
        <f>I104*J104</f>
        <v>2400.0</v>
      </c>
      <c r="L104" s="13" t="s">
        <v>187</v>
      </c>
    </row>
    <row r="105" spans="1:12" ht="18" customHeight="1">
      <c r="A105" s="5" t="s">
        <v>111</v>
      </c>
      <c r="B105" s="12" t="s">
        <v>186</v>
      </c>
      <c r="C105" s="10">
        <v>1</v>
      </c>
      <c r="D105" s="9">
        <v>300</v>
      </c>
      <c r="E105" s="9">
        <f>C105*D105</f>
        <v>300.0</v>
      </c>
      <c r="F105" s="10">
        <v>1</v>
      </c>
      <c r="G105" s="9">
        <v>800</v>
      </c>
      <c r="H105" s="9">
        <f>F105*G105</f>
        <v>800.0</v>
      </c>
      <c r="I105" s="10">
        <v>1</v>
      </c>
      <c r="J105" s="9">
        <v>2000</v>
      </c>
      <c r="K105" s="9">
        <f>I105*J105</f>
        <v>2000.0</v>
      </c>
      <c r="L105" s="13" t="s">
        <v>188</v>
      </c>
    </row>
    <row r="106" spans="1:12" ht="18" customHeight="1">
      <c r="A106" s="5" t="s">
        <v>112</v>
      </c>
      <c r="B106" s="12" t="s">
        <v>186</v>
      </c>
      <c r="C106" s="10">
        <v>1</v>
      </c>
      <c r="D106" s="9">
        <v>300</v>
      </c>
      <c r="E106" s="9">
        <f>C106*D106</f>
        <v>300.0</v>
      </c>
      <c r="F106" s="10">
        <v>1</v>
      </c>
      <c r="G106" s="9">
        <v>800</v>
      </c>
      <c r="H106" s="9">
        <f>F106*G106</f>
        <v>800.0</v>
      </c>
      <c r="I106" s="10">
        <v>1</v>
      </c>
      <c r="J106" s="9">
        <v>2000</v>
      </c>
      <c r="K106" s="9">
        <f>I106*J106</f>
        <v>2000.0</v>
      </c>
      <c r="L106" s="13" t="s">
        <v>189</v>
      </c>
    </row>
    <row r="107" spans="1:12" ht="18" customHeight="1">
      <c r="A107" s="5" t="s">
        <v>113</v>
      </c>
      <c r="B107" s="12" t="s">
        <v>186</v>
      </c>
      <c r="C107" s="10">
        <v>1</v>
      </c>
      <c r="D107" s="9">
        <v>300</v>
      </c>
      <c r="E107" s="9">
        <f>C107*D107</f>
        <v>300.0</v>
      </c>
      <c r="F107" s="10">
        <v>1</v>
      </c>
      <c r="G107" s="9">
        <v>500</v>
      </c>
      <c r="H107" s="9">
        <f>F107*G107</f>
        <v>500.0</v>
      </c>
      <c r="I107" s="10">
        <v>1</v>
      </c>
      <c r="J107" s="9">
        <v>800</v>
      </c>
      <c r="K107" s="9">
        <f>I107*J107</f>
        <v>800.0</v>
      </c>
      <c r="L107" s="13" t="s">
        <v>190</v>
      </c>
    </row>
    <row r="108" spans="1:12" ht="18" customHeight="1">
      <c r="A108" s="5" t="s">
        <v>114</v>
      </c>
      <c r="B108" s="12" t="s">
        <v>186</v>
      </c>
      <c r="C108" s="10">
        <v>1</v>
      </c>
      <c r="D108" s="9">
        <v>100</v>
      </c>
      <c r="E108" s="9">
        <f>C108*D108</f>
        <v>100.0</v>
      </c>
      <c r="F108" s="10">
        <v>1</v>
      </c>
      <c r="G108" s="9">
        <v>220</v>
      </c>
      <c r="H108" s="9">
        <f>F108*G108</f>
        <v>220.0</v>
      </c>
      <c r="I108" s="10">
        <v>1</v>
      </c>
      <c r="J108" s="9">
        <v>400</v>
      </c>
      <c r="K108" s="9">
        <f>I108*J108</f>
        <v>400.0</v>
      </c>
      <c r="L108" s="13" t="s">
        <v>191</v>
      </c>
    </row>
    <row r="109" spans="1:12" ht="18" customHeight="1">
      <c r="A109" s="5" t="s">
        <v>115</v>
      </c>
      <c r="B109" s="12" t="s">
        <v>169</v>
      </c>
      <c r="C109" s="10">
        <v>12</v>
      </c>
      <c r="D109" s="9">
        <v>80</v>
      </c>
      <c r="E109" s="9">
        <f>C109*D109</f>
        <v>960.0</v>
      </c>
      <c r="F109" s="10">
        <v>24</v>
      </c>
      <c r="G109" s="9">
        <v>80</v>
      </c>
      <c r="H109" s="9">
        <f>F109*G109</f>
        <v>1920.0</v>
      </c>
      <c r="I109" s="10">
        <v>36</v>
      </c>
      <c r="J109" s="9">
        <v>80</v>
      </c>
      <c r="K109" s="9">
        <f>I109*J109</f>
        <v>2880.0</v>
      </c>
      <c r="L109" s="13" t="s">
        <v>192</v>
      </c>
    </row>
    <row r="110" spans="1:12" ht="18" customHeight="1">
      <c r="A110" s="5" t="s">
        <v>116</v>
      </c>
      <c r="B110" s="12" t="s">
        <v>186</v>
      </c>
      <c r="C110" s="10">
        <v>1</v>
      </c>
      <c r="D110" s="9">
        <v>600</v>
      </c>
      <c r="E110" s="9">
        <f>C110*D110</f>
        <v>600.0</v>
      </c>
      <c r="F110" s="10">
        <v>1</v>
      </c>
      <c r="G110" s="9">
        <v>1200</v>
      </c>
      <c r="H110" s="9">
        <f>F110*G110</f>
        <v>1200.0</v>
      </c>
      <c r="I110" s="10">
        <v>1</v>
      </c>
      <c r="J110" s="9">
        <v>2000</v>
      </c>
      <c r="K110" s="9">
        <f>I110*J110</f>
        <v>2000.0</v>
      </c>
      <c r="L110" s="13" t="s">
        <v>193</v>
      </c>
    </row>
    <row r="111" spans="1:12" ht="18" customHeight="1">
      <c r="A111" s="5" t="s">
        <v>117</v>
      </c>
      <c r="B111" s="12" t="s">
        <v>169</v>
      </c>
      <c r="C111" s="10">
        <v>8</v>
      </c>
      <c r="D111" s="9">
        <v>80</v>
      </c>
      <c r="E111" s="9">
        <f>C111*D111</f>
        <v>640.0</v>
      </c>
      <c r="F111" s="10">
        <v>16</v>
      </c>
      <c r="G111" s="9">
        <v>80</v>
      </c>
      <c r="H111" s="9">
        <f>F111*G111</f>
        <v>1280.0</v>
      </c>
      <c r="I111" s="10">
        <v>24</v>
      </c>
      <c r="J111" s="9">
        <v>80</v>
      </c>
      <c r="K111" s="9">
        <f>I111*J111</f>
        <v>1920.0</v>
      </c>
      <c r="L111" s="13" t="s">
        <v>194</v>
      </c>
    </row>
    <row r="112" spans="1:12" ht="18" customHeight="1">
      <c r="A112" s="5" t="s">
        <v>118</v>
      </c>
      <c r="B112" s="12" t="s">
        <v>186</v>
      </c>
      <c r="C112" s="10">
        <v>1</v>
      </c>
      <c r="D112" s="9">
        <v>720</v>
      </c>
      <c r="E112" s="9">
        <f>C112*D112</f>
        <v>720.0</v>
      </c>
      <c r="F112" s="10">
        <v>1</v>
      </c>
      <c r="G112" s="9">
        <v>948</v>
      </c>
      <c r="H112" s="9">
        <f>F112*G112</f>
        <v>948.0</v>
      </c>
      <c r="I112" s="10">
        <v>1</v>
      </c>
      <c r="J112" s="9">
        <v>1560</v>
      </c>
      <c r="K112" s="9">
        <f>I112*J112</f>
        <v>1560.0</v>
      </c>
      <c r="L112" s="13" t="s">
        <v>195</v>
      </c>
    </row>
    <row r="113" spans="1:12" ht="18" customHeight="1">
      <c r="A113" s="5" t="s">
        <v>119</v>
      </c>
      <c r="B113" s="12" t="s">
        <v>186</v>
      </c>
      <c r="C113" s="10">
        <v>1</v>
      </c>
      <c r="D113" s="9">
        <v>480</v>
      </c>
      <c r="E113" s="9">
        <f>C113*D113</f>
        <v>480.0</v>
      </c>
      <c r="F113" s="10">
        <v>1</v>
      </c>
      <c r="G113" s="9">
        <v>632</v>
      </c>
      <c r="H113" s="9">
        <f>F113*G113</f>
        <v>632.0</v>
      </c>
      <c r="I113" s="10">
        <v>1</v>
      </c>
      <c r="J113" s="9">
        <v>1040</v>
      </c>
      <c r="K113" s="9">
        <f>I113*J113</f>
        <v>1040.0</v>
      </c>
      <c r="L113" s="13" t="s">
        <v>196</v>
      </c>
    </row>
    <row r="114" spans="1:12" ht="18" customHeight="1">
      <c r="A114" s="8" t="s">
        <v>197</v>
      </c>
      <c r="E114" s="8">
        <f>SUM(E104:E113)</f>
        <v>5000</v>
      </c>
      <c r="H114" s="8">
        <f>SUM(H104:H113)</f>
        <v>9500</v>
      </c>
      <c r="K114" s="8">
        <f>SUM(K104:K113)</f>
        <v>17000</v>
      </c>
    </row>
    <row r="116" spans="1:12" ht="20" customHeight="1">
      <c r="A116" s="3" t="s">
        <v>198</v>
      </c>
      <c r="B116" s="3"/>
      <c r="C116" s="3"/>
      <c r="D116" s="3"/>
    </row>
    <row r="117" spans="1:12" ht="18" customHeight="1">
      <c r="A117" s="4" t="s">
        <v>3</v>
      </c>
      <c r="B117" s="4" t="s">
        <v>199</v>
      </c>
      <c r="C117" s="4" t="s">
        <v>200</v>
      </c>
    </row>
    <row r="118" spans="1:12" ht="18" customHeight="1">
      <c r="A118" s="5" t="s">
        <v>122</v>
      </c>
      <c r="B118" s="11">
        <v>0.4</v>
      </c>
      <c r="C118" s="11">
        <v>0.5</v>
      </c>
    </row>
    <row r="119" spans="1:12" ht="18" customHeight="1">
      <c r="A119" s="5" t="s">
        <v>123</v>
      </c>
      <c r="B119" s="11">
        <v>0.2</v>
      </c>
      <c r="C119" s="11">
        <f>$C$118</f>
        <v>0.5</v>
      </c>
    </row>
    <row r="120" spans="1:12" ht="18" customHeight="1">
      <c r="A120" s="5" t="s">
        <v>124</v>
      </c>
      <c r="B120" s="11">
        <v>0.2</v>
      </c>
      <c r="C120" s="11">
        <f>$C$118</f>
        <v>0.5</v>
      </c>
    </row>
    <row r="121" spans="1:12" ht="18" customHeight="1">
      <c r="A121" s="5" t="s">
        <v>125</v>
      </c>
      <c r="B121" s="11">
        <v>0.2</v>
      </c>
      <c r="C121" s="11">
        <f>$C$118</f>
        <v>0.5</v>
      </c>
    </row>
    <row r="124" spans="1:12" ht="20" customHeight="1">
      <c r="A124" s="3" t="s">
        <v>201</v>
      </c>
      <c r="B124" s="3"/>
      <c r="C124" s="3"/>
      <c r="D124" s="3"/>
    </row>
    <row r="125" spans="1:12" ht="18" customHeight="1">
      <c r="A125" s="4" t="s">
        <v>3</v>
      </c>
      <c r="B125" s="4" t="s">
        <v>75</v>
      </c>
    </row>
    <row r="126" spans="1:12" ht="18" customHeight="1">
      <c r="A126" s="5" t="s">
        <v>202</v>
      </c>
      <c r="B126" s="11">
        <v>0.3</v>
      </c>
    </row>
    <row r="127" spans="1:12" ht="18" customHeight="1">
      <c r="A127" s="5" t="s">
        <v>203</v>
      </c>
      <c r="B127" s="11">
        <f>1-B126</f>
        <v>0.7</v>
      </c>
    </row>
    <row r="128" spans="1:12" ht="18" customHeight="1">
      <c r="A128" s="5" t="s">
        <v>204</v>
      </c>
      <c r="B128" s="11">
        <v>0.85</v>
      </c>
    </row>
    <row r="130" spans="1:10" ht="20" customHeight="1">
      <c r="A130" s="3" t="s">
        <v>205</v>
      </c>
      <c r="B130" s="3"/>
      <c r="C130" s="3"/>
      <c r="D130" s="3"/>
      <c r="E130" s="3"/>
      <c r="F130" s="3"/>
      <c r="G130" s="3"/>
      <c r="H130" s="3"/>
      <c r="I130" s="3"/>
      <c r="J130" s="3"/>
    </row>
    <row r="131" spans="1:10" ht="18" customHeight="1">
      <c r="A131" s="4" t="s">
        <v>206</v>
      </c>
      <c r="B131" s="4" t="s">
        <v>207</v>
      </c>
      <c r="C131" s="4" t="s">
        <v>208</v>
      </c>
      <c r="D131" s="4" t="s">
        <v>209</v>
      </c>
      <c r="E131" s="4" t="s">
        <v>210</v>
      </c>
      <c r="F131" s="4" t="s">
        <v>211</v>
      </c>
      <c r="G131" s="4" t="s">
        <v>212</v>
      </c>
      <c r="H131" s="4" t="s">
        <v>213</v>
      </c>
      <c r="I131" s="4" t="s">
        <v>214</v>
      </c>
      <c r="J131" s="4" t="s">
        <v>200</v>
      </c>
    </row>
    <row r="132" spans="1:10" ht="18" customHeight="1">
      <c r="A132" s="5" t="s">
        <v>215</v>
      </c>
      <c r="B132" s="10">
        <v>1.2</v>
      </c>
      <c r="C132" s="10">
        <v>8</v>
      </c>
      <c r="D132" s="6">
        <v>270</v>
      </c>
      <c r="E132" s="10">
        <v>0.55</v>
      </c>
      <c r="F132" s="9">
        <f>B132*C132*D132*E132</f>
        <v>1425.6</v>
      </c>
      <c r="G132" s="11">
        <v>1</v>
      </c>
      <c r="H132" s="9">
        <f>F132*G132</f>
        <v>1425.6</v>
      </c>
      <c r="I132" s="12" t="s">
        <v>216</v>
      </c>
      <c r="J132" s="12" t="s">
        <v>4</v>
      </c>
    </row>
    <row r="133" spans="1:10" ht="18" customHeight="1">
      <c r="A133" s="5" t="s">
        <v>217</v>
      </c>
      <c r="B133" s="10">
        <v>0.8</v>
      </c>
      <c r="C133" s="10">
        <v>24</v>
      </c>
      <c r="D133" s="6">
        <v>365</v>
      </c>
      <c r="E133" s="10">
        <v>0.55</v>
      </c>
      <c r="F133" s="9">
        <f>B133*C133*D133*E133</f>
        <v>3854.4</v>
      </c>
      <c r="G133" s="11">
        <v>1</v>
      </c>
      <c r="H133" s="9">
        <f>F133*G133</f>
        <v>3854.4</v>
      </c>
      <c r="I133" s="12" t="s">
        <v>216</v>
      </c>
      <c r="J133" s="12" t="s">
        <v>4</v>
      </c>
    </row>
    <row r="134" spans="1:10" ht="18" customHeight="1">
      <c r="A134" s="5" t="s">
        <v>218</v>
      </c>
      <c r="B134" s="10">
        <v>0.25</v>
      </c>
      <c r="C134" s="10">
        <v>4</v>
      </c>
      <c r="D134" s="6">
        <v>270</v>
      </c>
      <c r="E134" s="10">
        <v>0.55</v>
      </c>
      <c r="F134" s="9">
        <f>B134*C134*D134*E134</f>
        <v>148.5</v>
      </c>
      <c r="G134" s="11">
        <v>1</v>
      </c>
      <c r="H134" s="9">
        <f>F134*G134</f>
        <v>148.5</v>
      </c>
      <c r="I134" s="12" t="s">
        <v>216</v>
      </c>
      <c r="J134" s="12" t="s">
        <v>4</v>
      </c>
    </row>
    <row r="135" spans="1:10" ht="18" customHeight="1">
      <c r="A135" s="5" t="s">
        <v>219</v>
      </c>
      <c r="B135" s="10">
        <v>0.18</v>
      </c>
      <c r="C135" s="10">
        <v>24</v>
      </c>
      <c r="D135" s="6">
        <v>365</v>
      </c>
      <c r="E135" s="10">
        <v>0.55</v>
      </c>
      <c r="F135" s="9">
        <f>B135*C135*D135*E135</f>
        <v>867.24</v>
      </c>
      <c r="G135" s="11">
        <v>1</v>
      </c>
      <c r="H135" s="9">
        <f>F135*G135</f>
        <v>867.24</v>
      </c>
      <c r="I135" s="12" t="s">
        <v>216</v>
      </c>
      <c r="J135" s="12" t="s">
        <v>4</v>
      </c>
    </row>
    <row r="136" spans="1:10" ht="18" customHeight="1">
      <c r="A136" s="5" t="s">
        <v>220</v>
      </c>
      <c r="B136" s="10">
        <v>4104.26</v>
      </c>
      <c r="C136" s="10">
        <v>1</v>
      </c>
      <c r="D136" s="6">
        <v>1</v>
      </c>
      <c r="E136" s="10">
        <v>1</v>
      </c>
      <c r="F136" s="9">
        <f>B136*C136*D136*E136</f>
        <v>4104.26</v>
      </c>
      <c r="G136" s="11">
        <v>1</v>
      </c>
      <c r="H136" s="9">
        <f>F136*G136</f>
        <v>4104.26</v>
      </c>
      <c r="I136" s="12" t="s">
        <v>216</v>
      </c>
      <c r="J136" s="12" t="s">
        <v>4</v>
      </c>
    </row>
    <row r="137" spans="1:10" ht="18" customHeight="1">
      <c r="A137" s="5" t="s">
        <v>221</v>
      </c>
      <c r="B137" s="10">
        <v>9600</v>
      </c>
      <c r="C137" s="10">
        <v>1</v>
      </c>
      <c r="D137" s="6">
        <v>1</v>
      </c>
      <c r="E137" s="10">
        <v>1</v>
      </c>
      <c r="F137" s="9">
        <f>B137*C137*D137*E137</f>
        <v>9600.0</v>
      </c>
      <c r="G137" s="11">
        <v>1</v>
      </c>
      <c r="H137" s="9">
        <f>F137*G137</f>
        <v>9600.0</v>
      </c>
      <c r="I137" s="12" t="s">
        <v>222</v>
      </c>
      <c r="J137" s="12" t="s">
        <v>4</v>
      </c>
    </row>
    <row r="138" spans="1:10" ht="18" customHeight="1">
      <c r="A138" s="8" t="s">
        <v>223</v>
      </c>
      <c r="H138" s="8">
        <f>SUM(H132:H136)</f>
        <v>10400.0</v>
      </c>
    </row>
    <row r="139" spans="1:10" ht="18" customHeight="1">
      <c r="A139" s="8" t="s">
        <v>224</v>
      </c>
      <c r="H139" s="8">
        <f>SUM(H137:H137)</f>
        <v>9600.0</v>
      </c>
    </row>
    <row r="141" spans="1:10" ht="20" customHeight="1">
      <c r="A141" s="3" t="s">
        <v>225</v>
      </c>
      <c r="B141" s="3"/>
      <c r="C141" s="3"/>
      <c r="D141" s="3"/>
      <c r="E141" s="3"/>
    </row>
    <row r="142" spans="1:10" ht="18" customHeight="1">
      <c r="A142" s="4" t="s">
        <v>3</v>
      </c>
      <c r="B142" s="4" t="s">
        <v>226</v>
      </c>
      <c r="C142" s="4" t="s">
        <v>227</v>
      </c>
      <c r="D142" s="4" t="s">
        <v>228</v>
      </c>
      <c r="E142" s="4" t="s">
        <v>229</v>
      </c>
    </row>
    <row r="143" spans="1:10" ht="18" customHeight="1">
      <c r="A143" s="5" t="s">
        <v>141</v>
      </c>
      <c r="B143" s="9">
        <v>9000</v>
      </c>
      <c r="C143" s="6">
        <v>2</v>
      </c>
      <c r="D143" s="11">
        <f>'GASTOS_ADM_VTAS_FINANZAS'!B60</f>
        <v>0.04</v>
      </c>
      <c r="E143" s="12" t="s">
        <v>230</v>
      </c>
    </row>
    <row r="144" spans="1:10" ht="18" customHeight="1">
      <c r="A144" s="5" t="s">
        <v>142</v>
      </c>
      <c r="B144" s="9">
        <v>3800</v>
      </c>
      <c r="C144" s="6">
        <v>1</v>
      </c>
      <c r="D144" s="11">
        <f>$D$143</f>
        <v>0.04</v>
      </c>
      <c r="E144" s="12" t="s">
        <v>230</v>
      </c>
    </row>
    <row r="145" spans="1:5" ht="18" customHeight="1">
      <c r="A145" s="5" t="s">
        <v>143</v>
      </c>
      <c r="B145" s="9">
        <v>4500</v>
      </c>
      <c r="C145" s="6">
        <v>1</v>
      </c>
      <c r="D145" s="11">
        <f>$D$143</f>
        <v>0.04</v>
      </c>
      <c r="E145" s="12" t="s">
        <v>230</v>
      </c>
    </row>
  </sheetData>
  <mergeCells count="13">
    <mergeCell ref="A1:M1"/>
    <mergeCell ref="A3:K3"/>
    <mergeCell ref="A28:K28"/>
    <mergeCell ref="A41:K41"/>
    <mergeCell ref="A50:K50"/>
    <mergeCell ref="A56:K56"/>
    <mergeCell ref="A65:K65"/>
    <mergeCell ref="A76:L76"/>
    <mergeCell ref="A102:L102"/>
    <mergeCell ref="A116:D116"/>
    <mergeCell ref="A124:D124"/>
    <mergeCell ref="A130:J130"/>
    <mergeCell ref="A141:E141"/>
  </mergeCells>
  <pageMargins left="0.25" right="0.25" top="0.35" bottom="0.3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45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231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20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spans="1:12" ht="18" customHeight="1">
      <c r="A5" s="5" t="s">
        <v>232</v>
      </c>
      <c r="B5" s="9">
        <f>'COSTOS'!B48</f>
        <v>256760.0</v>
      </c>
      <c r="C5" s="9">
        <f>'COSTOS'!C48</f>
        <v>299482.8</v>
      </c>
      <c r="D5" s="9">
        <f>'COSTOS'!D48</f>
        <v>351259.75</v>
      </c>
      <c r="E5" s="9">
        <f>'COSTOS'!E48</f>
        <v>401135.71</v>
      </c>
      <c r="F5" s="9">
        <f>'COSTOS'!F48</f>
        <v>385007.3</v>
      </c>
      <c r="G5" s="9">
        <f>'COSTOS'!G48</f>
        <v>613229.84</v>
      </c>
      <c r="H5" s="9">
        <f>'COSTOS'!H48</f>
        <v>622588.66</v>
      </c>
      <c r="I5" s="9">
        <f>'COSTOS'!I48</f>
        <v>622265.33</v>
      </c>
      <c r="J5" s="9">
        <f>'COSTOS'!J48</f>
        <v>859276.36</v>
      </c>
      <c r="K5" s="9">
        <f>'COSTOS'!K48</f>
        <v>879308.35</v>
      </c>
    </row>
    <row r="6" spans="1:12" ht="18" customHeight="1">
      <c r="A6" s="5" t="s">
        <v>233</v>
      </c>
      <c r="B6" s="9">
        <f>'PLANILLA'!B6</f>
        <v>94042.55</v>
      </c>
      <c r="C6" s="9">
        <f>'PLANILLA'!C6</f>
        <v>143526.84</v>
      </c>
      <c r="D6" s="9">
        <f>'PLANILLA'!D6</f>
        <v>165929.12</v>
      </c>
      <c r="E6" s="9">
        <f>'PLANILLA'!E6</f>
        <v>174225.58</v>
      </c>
      <c r="F6" s="9">
        <f>'PLANILLA'!F6</f>
        <v>182936.86</v>
      </c>
      <c r="G6" s="9">
        <f>'PLANILLA'!G6</f>
        <v>207309.64</v>
      </c>
      <c r="H6" s="9">
        <f>'PLANILLA'!H6</f>
        <v>217675.12</v>
      </c>
      <c r="I6" s="9">
        <f>'PLANILLA'!I6</f>
        <v>273341.04</v>
      </c>
      <c r="J6" s="9">
        <f>'PLANILLA'!J6</f>
        <v>287008.09</v>
      </c>
      <c r="K6" s="9">
        <f>'PLANILLA'!K6</f>
        <v>301358.5</v>
      </c>
    </row>
    <row r="7" spans="1:12" ht="18" customHeight="1">
      <c r="A7" s="5" t="s">
        <v>234</v>
      </c>
      <c r="B7" s="9">
        <f>'COSTOS'!B73</f>
        <v>42674.8</v>
      </c>
      <c r="C7" s="9">
        <f>'COSTOS'!C73</f>
        <v>52806.8</v>
      </c>
      <c r="D7" s="9">
        <f>'COSTOS'!D73</f>
        <v>54344.08</v>
      </c>
      <c r="E7" s="9">
        <f>'COSTOS'!E73</f>
        <v>55942.85</v>
      </c>
      <c r="F7" s="9">
        <f>'COSTOS'!F73</f>
        <v>50477.57</v>
      </c>
      <c r="G7" s="9">
        <f>'COSTOS'!G73</f>
        <v>46029.2</v>
      </c>
      <c r="H7" s="9">
        <f>'COSTOS'!H73</f>
        <v>47827.6</v>
      </c>
      <c r="I7" s="9">
        <f>'COSTOS'!I73</f>
        <v>49697.94</v>
      </c>
      <c r="J7" s="9">
        <f>'COSTOS'!J73</f>
        <v>51643.09</v>
      </c>
      <c r="K7" s="9">
        <f>'COSTOS'!K73</f>
        <v>53666.05</v>
      </c>
    </row>
    <row r="8" spans="1:12" ht="18" customHeight="1">
      <c r="A8" s="8" t="s">
        <v>235</v>
      </c>
      <c r="B8" s="8">
        <f>B23</f>
        <v>393477.35</v>
      </c>
      <c r="C8" s="8">
        <f>C23</f>
        <v>495816.44</v>
      </c>
      <c r="D8" s="8">
        <f>D23</f>
        <v>571532.95</v>
      </c>
      <c r="E8" s="8">
        <f>E23</f>
        <v>631304.14</v>
      </c>
      <c r="F8" s="8">
        <f>F23</f>
        <v>618421.73</v>
      </c>
      <c r="G8" s="8">
        <f>G23</f>
        <v>866568.68</v>
      </c>
      <c r="H8" s="8">
        <f>H23</f>
        <v>888091.38</v>
      </c>
      <c r="I8" s="8">
        <f>I23</f>
        <v>945304.32</v>
      </c>
      <c r="J8" s="8">
        <f>J23</f>
        <v>1197927.54</v>
      </c>
      <c r="K8" s="8">
        <f>K23</f>
        <v>1234332.89</v>
      </c>
    </row>
    <row r="9" spans="1:12" ht="18" customHeight="1">
      <c r="A9" s="5" t="s">
        <v>236</v>
      </c>
      <c r="B9" s="9">
        <f>IFERROR(B8/B15,0)</f>
        <v>131159.12</v>
      </c>
      <c r="C9" s="9">
        <f>IFERROR(C8/C15,0)</f>
        <v>99163.29</v>
      </c>
      <c r="D9" s="9">
        <f>IFERROR(D8/D15,0)</f>
        <v>67239.17</v>
      </c>
      <c r="E9" s="9">
        <f>IFERROR(E8/E15,0)</f>
        <v>54896.01</v>
      </c>
      <c r="F9" s="9">
        <f>IFERROR(F8/F15,0)</f>
        <v>42649.77</v>
      </c>
      <c r="G9" s="9">
        <f>IFERROR(G8/G15,0)</f>
        <v>45608.88</v>
      </c>
      <c r="H9" s="9">
        <f>IFERROR(H8/H15,0)</f>
        <v>38612.67</v>
      </c>
      <c r="I9" s="9">
        <f>IFERROR(I8/I15,0)</f>
        <v>35011.27</v>
      </c>
      <c r="J9" s="9">
        <f>IFERROR(J8/J15,0)</f>
        <v>36859.31</v>
      </c>
      <c r="K9" s="9">
        <f>IFERROR(K8/K15,0)</f>
        <v>32915.54</v>
      </c>
    </row>
    <row r="11" spans="1:12" ht="20" customHeight="1">
      <c r="A11" s="3" t="s">
        <v>237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2" ht="20" customHeight="1">
      <c r="A12" s="4" t="s">
        <v>3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J12" s="4" t="s">
        <v>12</v>
      </c>
      <c r="K12" s="4" t="s">
        <v>13</v>
      </c>
    </row>
    <row r="13" spans="1:12" ht="18" customHeight="1">
      <c r="A13" s="5" t="s">
        <v>238</v>
      </c>
      <c r="B13" s="6">
        <f>'COSTOS'!B52</f>
        <v>2</v>
      </c>
      <c r="C13" s="6">
        <f>'COSTOS'!C52</f>
        <v>2</v>
      </c>
      <c r="D13" s="6">
        <f>'COSTOS'!D52</f>
        <v>3</v>
      </c>
      <c r="E13" s="6">
        <f>'COSTOS'!E52</f>
        <v>3</v>
      </c>
      <c r="F13" s="6">
        <f>'COSTOS'!F52</f>
        <v>3</v>
      </c>
      <c r="G13" s="6">
        <f>'COSTOS'!G52</f>
        <v>4</v>
      </c>
      <c r="H13" s="6">
        <f>'COSTOS'!H52</f>
        <v>4</v>
      </c>
      <c r="I13" s="6">
        <f>'COSTOS'!I52</f>
        <v>4</v>
      </c>
      <c r="J13" s="6">
        <f>'COSTOS'!J52</f>
        <v>5</v>
      </c>
      <c r="K13" s="6">
        <f>'COSTOS'!K52</f>
        <v>5</v>
      </c>
    </row>
    <row r="14" spans="1:12" ht="18" customHeight="1">
      <c r="A14" s="5" t="s">
        <v>239</v>
      </c>
      <c r="B14" s="10">
        <f>'COSTOS'!B54</f>
        <v>1.0</v>
      </c>
      <c r="C14" s="10">
        <f>'COSTOS'!C54</f>
        <v>3.0</v>
      </c>
      <c r="D14" s="10">
        <f>'COSTOS'!D54</f>
        <v>5.5</v>
      </c>
      <c r="E14" s="10">
        <f>'COSTOS'!E54</f>
        <v>8.5</v>
      </c>
      <c r="F14" s="10">
        <f>'COSTOS'!F54</f>
        <v>11.5</v>
      </c>
      <c r="G14" s="10">
        <f>'COSTOS'!G54</f>
        <v>15.0</v>
      </c>
      <c r="H14" s="10">
        <f>'COSTOS'!H54</f>
        <v>19.0</v>
      </c>
      <c r="I14" s="10">
        <f>'COSTOS'!I54</f>
        <v>23.0</v>
      </c>
      <c r="J14" s="10">
        <f>'COSTOS'!J54</f>
        <v>27.5</v>
      </c>
      <c r="K14" s="10">
        <f>'COSTOS'!K54</f>
        <v>32.5</v>
      </c>
    </row>
    <row r="15" spans="1:12" ht="18" customHeight="1">
      <c r="A15" s="5" t="s">
        <v>240</v>
      </c>
      <c r="B15" s="7">
        <f>SUM(B13,B14)</f>
        <v>3.0</v>
      </c>
      <c r="C15" s="7">
        <f>SUM(C13,C14)</f>
        <v>5.0</v>
      </c>
      <c r="D15" s="7">
        <f>SUM(D13,D14)</f>
        <v>8.5</v>
      </c>
      <c r="E15" s="7">
        <f>SUM(E13,E14)</f>
        <v>11.5</v>
      </c>
      <c r="F15" s="7">
        <f>SUM(F13,F14)</f>
        <v>14.5</v>
      </c>
      <c r="G15" s="7">
        <f>SUM(G13,G14)</f>
        <v>19.0</v>
      </c>
      <c r="H15" s="7">
        <f>SUM(H13,H14)</f>
        <v>23.0</v>
      </c>
      <c r="I15" s="7">
        <f>SUM(I13,I14)</f>
        <v>27.0</v>
      </c>
      <c r="J15" s="7">
        <f>SUM(J13,J14)</f>
        <v>32.5</v>
      </c>
      <c r="K15" s="7">
        <f>SUM(K13,K14)</f>
        <v>37.5</v>
      </c>
    </row>
    <row r="16" spans="1:12" ht="18" customHeight="1">
      <c r="A16" s="5" t="s">
        <v>21</v>
      </c>
      <c r="B16" s="6">
        <f>'INGRESOS'!B14</f>
        <v>2</v>
      </c>
      <c r="C16" s="6">
        <f>'INGRESOS'!C14</f>
        <v>4</v>
      </c>
      <c r="D16" s="6">
        <f>'INGRESOS'!D14</f>
        <v>7</v>
      </c>
      <c r="E16" s="6">
        <f>'INGRESOS'!E14</f>
        <v>10</v>
      </c>
      <c r="F16" s="6">
        <f>'INGRESOS'!F14</f>
        <v>13</v>
      </c>
      <c r="G16" s="6">
        <f>'INGRESOS'!G14</f>
        <v>17</v>
      </c>
      <c r="H16" s="6">
        <f>'INGRESOS'!H14</f>
        <v>21</v>
      </c>
      <c r="I16" s="6">
        <f>'INGRESOS'!I14</f>
        <v>25</v>
      </c>
      <c r="J16" s="6">
        <f>'INGRESOS'!J14</f>
        <v>30</v>
      </c>
      <c r="K16" s="6">
        <f>'INGRESOS'!K14</f>
        <v>35</v>
      </c>
    </row>
    <row r="18" spans="1:11" ht="20" customHeight="1">
      <c r="A18" s="3" t="s">
        <v>241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ht="20" customHeight="1">
      <c r="A19" s="4" t="s">
        <v>3</v>
      </c>
      <c r="B19" s="4" t="s">
        <v>4</v>
      </c>
      <c r="C19" s="4" t="s">
        <v>5</v>
      </c>
      <c r="D19" s="4" t="s">
        <v>6</v>
      </c>
      <c r="E19" s="4" t="s">
        <v>7</v>
      </c>
      <c r="F19" s="4" t="s">
        <v>8</v>
      </c>
      <c r="G19" s="4" t="s">
        <v>9</v>
      </c>
      <c r="H19" s="4" t="s">
        <v>10</v>
      </c>
      <c r="I19" s="4" t="s">
        <v>11</v>
      </c>
      <c r="J19" s="4" t="s">
        <v>12</v>
      </c>
      <c r="K19" s="4" t="s">
        <v>13</v>
      </c>
    </row>
    <row r="20" spans="1:11" ht="18" customHeight="1">
      <c r="A20" s="5" t="s">
        <v>232</v>
      </c>
      <c r="B20" s="9">
        <f>B5</f>
        <v>256760.0</v>
      </c>
      <c r="C20" s="9">
        <f>C5</f>
        <v>299482.8</v>
      </c>
      <c r="D20" s="9">
        <f>D5</f>
        <v>351259.75</v>
      </c>
      <c r="E20" s="9">
        <f>E5</f>
        <v>401135.71</v>
      </c>
      <c r="F20" s="9">
        <f>F5</f>
        <v>385007.3</v>
      </c>
      <c r="G20" s="9">
        <f>G5</f>
        <v>613229.84</v>
      </c>
      <c r="H20" s="9">
        <f>H5</f>
        <v>622588.66</v>
      </c>
      <c r="I20" s="9">
        <f>I5</f>
        <v>622265.33</v>
      </c>
      <c r="J20" s="9">
        <f>J5</f>
        <v>859276.36</v>
      </c>
      <c r="K20" s="9">
        <f>K5</f>
        <v>879308.35</v>
      </c>
    </row>
    <row r="21" spans="1:11" ht="18" customHeight="1">
      <c r="A21" s="5" t="s">
        <v>233</v>
      </c>
      <c r="B21" s="9">
        <f>B6</f>
        <v>94042.55</v>
      </c>
      <c r="C21" s="9">
        <f>C6</f>
        <v>143526.84</v>
      </c>
      <c r="D21" s="9">
        <f>D6</f>
        <v>165929.12</v>
      </c>
      <c r="E21" s="9">
        <f>E6</f>
        <v>174225.58</v>
      </c>
      <c r="F21" s="9">
        <f>F6</f>
        <v>182936.86</v>
      </c>
      <c r="G21" s="9">
        <f>G6</f>
        <v>207309.64</v>
      </c>
      <c r="H21" s="9">
        <f>H6</f>
        <v>217675.12</v>
      </c>
      <c r="I21" s="9">
        <f>I6</f>
        <v>273341.04</v>
      </c>
      <c r="J21" s="9">
        <f>J6</f>
        <v>287008.09</v>
      </c>
      <c r="K21" s="9">
        <f>K6</f>
        <v>301358.5</v>
      </c>
    </row>
    <row r="22" spans="1:11" ht="18" customHeight="1">
      <c r="A22" s="5" t="s">
        <v>234</v>
      </c>
      <c r="B22" s="9">
        <f>B7</f>
        <v>42674.8</v>
      </c>
      <c r="C22" s="9">
        <f>C7</f>
        <v>52806.8</v>
      </c>
      <c r="D22" s="9">
        <f>D7</f>
        <v>54344.08</v>
      </c>
      <c r="E22" s="9">
        <f>E7</f>
        <v>55942.85</v>
      </c>
      <c r="F22" s="9">
        <f>F7</f>
        <v>50477.57</v>
      </c>
      <c r="G22" s="9">
        <f>G7</f>
        <v>46029.2</v>
      </c>
      <c r="H22" s="9">
        <f>H7</f>
        <v>47827.6</v>
      </c>
      <c r="I22" s="9">
        <f>I7</f>
        <v>49697.94</v>
      </c>
      <c r="J22" s="9">
        <f>J7</f>
        <v>51643.09</v>
      </c>
      <c r="K22" s="9">
        <f>K7</f>
        <v>53666.05</v>
      </c>
    </row>
    <row r="23" spans="1:11" ht="18" customHeight="1">
      <c r="A23" s="8" t="s">
        <v>242</v>
      </c>
      <c r="B23" s="8">
        <f>SUM(B20,B21,B22)</f>
        <v>393477.35</v>
      </c>
      <c r="C23" s="8">
        <f>SUM(C20,C21,C22)</f>
        <v>495816.44</v>
      </c>
      <c r="D23" s="8">
        <f>SUM(D20,D21,D22)</f>
        <v>571532.95</v>
      </c>
      <c r="E23" s="8">
        <f>SUM(E20,E21,E22)</f>
        <v>631304.14</v>
      </c>
      <c r="F23" s="8">
        <f>SUM(F20,F21,F22)</f>
        <v>618421.73</v>
      </c>
      <c r="G23" s="8">
        <f>SUM(G20,G21,G22)</f>
        <v>866568.68</v>
      </c>
      <c r="H23" s="8">
        <f>SUM(H20,H21,H22)</f>
        <v>888091.38</v>
      </c>
      <c r="I23" s="8">
        <f>SUM(I20,I21,I22)</f>
        <v>945304.32</v>
      </c>
      <c r="J23" s="8">
        <f>SUM(J20,J21,J22)</f>
        <v>1197927.54</v>
      </c>
      <c r="K23" s="8">
        <f>SUM(K20,K21,K22)</f>
        <v>1234332.89</v>
      </c>
    </row>
    <row r="24" spans="1:11" ht="18" customHeight="1">
      <c r="A24" s="5" t="s">
        <v>243</v>
      </c>
      <c r="B24" s="9">
        <f>IFERROR(B23/B15,0)</f>
        <v>131159.12</v>
      </c>
      <c r="C24" s="9">
        <f>IFERROR(C23/C15,0)</f>
        <v>99163.29</v>
      </c>
      <c r="D24" s="9">
        <f>IFERROR(D23/D15,0)</f>
        <v>67239.17</v>
      </c>
      <c r="E24" s="9">
        <f>IFERROR(E23/E15,0)</f>
        <v>54896.01</v>
      </c>
      <c r="F24" s="9">
        <f>IFERROR(F23/F15,0)</f>
        <v>42649.77</v>
      </c>
      <c r="G24" s="9">
        <f>IFERROR(G23/G15,0)</f>
        <v>45608.88</v>
      </c>
      <c r="H24" s="9">
        <f>IFERROR(H23/H15,0)</f>
        <v>38612.67</v>
      </c>
      <c r="I24" s="9">
        <f>IFERROR(I23/I15,0)</f>
        <v>35011.27</v>
      </c>
      <c r="J24" s="9">
        <f>IFERROR(J23/J15,0)</f>
        <v>36859.31</v>
      </c>
      <c r="K24" s="9">
        <f>IFERROR(K23/K15,0)</f>
        <v>32915.54</v>
      </c>
    </row>
    <row r="25" spans="1:11" ht="18" customHeight="1">
      <c r="A25" s="5" t="s">
        <v>244</v>
      </c>
      <c r="B25" s="11">
        <f>IFERROR(B20/B23,0)</f>
        <v>0.6525407370970655</v>
      </c>
      <c r="C25" s="11">
        <f>IFERROR(C20/C23,0)</f>
        <v>0.6040194985935765</v>
      </c>
      <c r="D25" s="11">
        <f>IFERROR(D20/D23,0)</f>
        <v>0.6145922938356351</v>
      </c>
      <c r="E25" s="11">
        <f>IFERROR(E20/E23,0)</f>
        <v>0.6354080143345249</v>
      </c>
      <c r="F25" s="11">
        <f>IFERROR(F20/F23,0)</f>
        <v>0.6225643128373402</v>
      </c>
      <c r="G25" s="11">
        <f>IFERROR(G20/G23,0)</f>
        <v>0.7076528989877288</v>
      </c>
      <c r="H25" s="11">
        <f>IFERROR(H20/H23,0)</f>
        <v>0.7010412115768844</v>
      </c>
      <c r="I25" s="11">
        <f>IFERROR(I20/I23,0)</f>
        <v>0.6582698536750526</v>
      </c>
      <c r="J25" s="11">
        <f>IFERROR(J20/J23,0)</f>
        <v>0.7173024479108191</v>
      </c>
      <c r="K25" s="11">
        <f>IFERROR(K20/K23,0)</f>
        <v>0.712375367250464</v>
      </c>
    </row>
    <row r="26" spans="1:11" ht="18" customHeight="1">
      <c r="A26" s="5" t="s">
        <v>245</v>
      </c>
      <c r="B26" s="11">
        <f>IFERROR(B21/B23,0)</f>
        <v>0.23900371901965892</v>
      </c>
      <c r="C26" s="11">
        <f>IFERROR(C21/C23,0)</f>
        <v>0.2894757643786835</v>
      </c>
      <c r="D26" s="11">
        <f>IFERROR(D21/D23,0)</f>
        <v>0.29032293449356444</v>
      </c>
      <c r="E26" s="11">
        <f>IFERROR(E21/E23,0)</f>
        <v>0.2759772474587447</v>
      </c>
      <c r="F26" s="11">
        <f>IFERROR(F21/F23,0)</f>
        <v>0.29581246690685753</v>
      </c>
      <c r="G26" s="11">
        <f>IFERROR(G21/G23,0)</f>
        <v>0.23923047546013446</v>
      </c>
      <c r="H26" s="11">
        <f>IFERROR(H21/H23,0)</f>
        <v>0.24510441572609762</v>
      </c>
      <c r="I26" s="11">
        <f>IFERROR(I21/I23,0)</f>
        <v>0.2891566632753879</v>
      </c>
      <c r="J26" s="11">
        <f>IFERROR(J21/J23,0)</f>
        <v>0.23958719006364676</v>
      </c>
      <c r="K26" s="11">
        <f>IFERROR(K21/K23,0)</f>
        <v>0.24414685938714326</v>
      </c>
    </row>
    <row r="27" spans="1:11" ht="18" customHeight="1">
      <c r="A27" s="5" t="s">
        <v>246</v>
      </c>
      <c r="B27" s="11">
        <f>IFERROR(B22/B23,0)</f>
        <v>0.10845554388327563</v>
      </c>
      <c r="C27" s="11">
        <f>IFERROR(C22/C23,0)</f>
        <v>0.10650473702774008</v>
      </c>
      <c r="D27" s="11">
        <f>IFERROR(D22/D23,0)</f>
        <v>0.09508477167080044</v>
      </c>
      <c r="E27" s="11">
        <f>IFERROR(E22/E23,0)</f>
        <v>0.0886147382067304</v>
      </c>
      <c r="F27" s="11">
        <f>IFERROR(F22/F23,0)</f>
        <v>0.08162322025580224</v>
      </c>
      <c r="G27" s="11">
        <f>IFERROR(G22/G23,0)</f>
        <v>0.05311662555213678</v>
      </c>
      <c r="H27" s="11">
        <f>IFERROR(H22/H23,0)</f>
        <v>0.05385437269701802</v>
      </c>
      <c r="I27" s="11">
        <f>IFERROR(I22/I23,0)</f>
        <v>0.05257348304955945</v>
      </c>
      <c r="J27" s="11">
        <f>IFERROR(J22/J23,0)</f>
        <v>0.04311036202553423</v>
      </c>
      <c r="K27" s="11">
        <f>IFERROR(K22/K23,0)</f>
        <v>0.04347777336239257</v>
      </c>
    </row>
    <row r="29" spans="1:11" ht="20" customHeight="1">
      <c r="A29" s="3" t="s">
        <v>247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ht="20" customHeight="1">
      <c r="A30" s="4" t="s">
        <v>3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  <c r="J30" s="4" t="s">
        <v>12</v>
      </c>
      <c r="K30" s="4" t="s">
        <v>13</v>
      </c>
    </row>
    <row r="31" spans="1:11" ht="18" customHeight="1">
      <c r="A31" s="5" t="s">
        <v>248</v>
      </c>
      <c r="B31" s="9">
        <f>'COSTOS'!E$100*'INGRESOS'!B33</f>
        <v>29000.0</v>
      </c>
      <c r="C31" s="9">
        <f>'COSTOS'!E$100*'INGRESOS'!C33</f>
        <v>29870.0</v>
      </c>
      <c r="D31" s="9">
        <f>'COSTOS'!E$100*'INGRESOS'!D33</f>
        <v>30766.1</v>
      </c>
      <c r="E31" s="9">
        <f>'COSTOS'!E$100*'INGRESOS'!E33</f>
        <v>31689.08</v>
      </c>
      <c r="F31" s="9">
        <f>'COSTOS'!E$100*'INGRESOS'!F33</f>
        <v>32639.76</v>
      </c>
      <c r="G31" s="9">
        <f>'COSTOS'!E$100*'INGRESOS'!G33</f>
        <v>33782.15</v>
      </c>
      <c r="H31" s="9">
        <f>'COSTOS'!E$100*'INGRESOS'!H33</f>
        <v>35133.43</v>
      </c>
      <c r="I31" s="9">
        <f>'COSTOS'!E$100*'INGRESOS'!I33</f>
        <v>36538.77</v>
      </c>
      <c r="J31" s="9">
        <f>'COSTOS'!E$100*'INGRESOS'!J33</f>
        <v>38000.32</v>
      </c>
      <c r="K31" s="9">
        <f>'COSTOS'!E$100*'INGRESOS'!K33</f>
        <v>39520.33</v>
      </c>
    </row>
    <row r="32" spans="1:11" ht="18" customHeight="1">
      <c r="A32" s="5" t="s">
        <v>249</v>
      </c>
      <c r="B32" s="9">
        <f>'COSTOS'!H$100*'INGRESOS'!B33</f>
        <v>58000.0</v>
      </c>
      <c r="C32" s="9">
        <f>'COSTOS'!H$100*'INGRESOS'!C33</f>
        <v>59740.0</v>
      </c>
      <c r="D32" s="9">
        <f>'COSTOS'!H$100*'INGRESOS'!D33</f>
        <v>61532.2</v>
      </c>
      <c r="E32" s="9">
        <f>'COSTOS'!H$100*'INGRESOS'!E33</f>
        <v>63378.17</v>
      </c>
      <c r="F32" s="9">
        <f>'COSTOS'!H$100*'INGRESOS'!F33</f>
        <v>65279.51</v>
      </c>
      <c r="G32" s="9">
        <f>'COSTOS'!H$100*'INGRESOS'!G33</f>
        <v>67564.29</v>
      </c>
      <c r="H32" s="9">
        <f>'COSTOS'!H$100*'INGRESOS'!H33</f>
        <v>70266.87</v>
      </c>
      <c r="I32" s="9">
        <f>'COSTOS'!H$100*'INGRESOS'!I33</f>
        <v>73077.54</v>
      </c>
      <c r="J32" s="9">
        <f>'COSTOS'!H$100*'INGRESOS'!J33</f>
        <v>76000.64</v>
      </c>
      <c r="K32" s="9">
        <f>'COSTOS'!H$100*'INGRESOS'!K33</f>
        <v>79040.67</v>
      </c>
    </row>
    <row r="33" spans="1:11" ht="18" customHeight="1">
      <c r="A33" s="5" t="s">
        <v>250</v>
      </c>
      <c r="B33" s="9">
        <f>'COSTOS'!K$100*'INGRESOS'!B33</f>
        <v>111000.0</v>
      </c>
      <c r="C33" s="9">
        <f>'COSTOS'!K$100*'INGRESOS'!C33</f>
        <v>114330.0</v>
      </c>
      <c r="D33" s="9">
        <f>'COSTOS'!K$100*'INGRESOS'!D33</f>
        <v>117759.9</v>
      </c>
      <c r="E33" s="9">
        <f>'COSTOS'!K$100*'INGRESOS'!E33</f>
        <v>121292.7</v>
      </c>
      <c r="F33" s="9">
        <f>'COSTOS'!K$100*'INGRESOS'!F33</f>
        <v>124931.48</v>
      </c>
      <c r="G33" s="9">
        <f>'COSTOS'!K$100*'INGRESOS'!G33</f>
        <v>129304.08</v>
      </c>
      <c r="H33" s="9">
        <f>'COSTOS'!K$100*'INGRESOS'!H33</f>
        <v>134476.24</v>
      </c>
      <c r="I33" s="9">
        <f>'COSTOS'!K$100*'INGRESOS'!I33</f>
        <v>139855.29</v>
      </c>
      <c r="J33" s="9">
        <f>'COSTOS'!K$100*'INGRESOS'!J33</f>
        <v>145449.5</v>
      </c>
      <c r="K33" s="9">
        <f>'COSTOS'!K$100*'INGRESOS'!K33</f>
        <v>151267.48</v>
      </c>
    </row>
    <row r="34" spans="1:11" ht="18" customHeight="1">
      <c r="A34" s="5" t="s">
        <v>251</v>
      </c>
      <c r="B34" s="9">
        <f>'COSTOS'!E$114*'INGRESOS'!B33</f>
        <v>5000.0</v>
      </c>
      <c r="C34" s="9">
        <f>'COSTOS'!E$114*'INGRESOS'!C33</f>
        <v>5150.0</v>
      </c>
      <c r="D34" s="9">
        <f>'COSTOS'!E$114*'INGRESOS'!D33</f>
        <v>5304.5</v>
      </c>
      <c r="E34" s="9">
        <f>'COSTOS'!E$114*'INGRESOS'!E33</f>
        <v>5463.64</v>
      </c>
      <c r="F34" s="9">
        <f>'COSTOS'!E$114*'INGRESOS'!F33</f>
        <v>5627.54</v>
      </c>
      <c r="G34" s="9">
        <f>'COSTOS'!E$114*'INGRESOS'!G33</f>
        <v>5824.51</v>
      </c>
      <c r="H34" s="9">
        <f>'COSTOS'!E$114*'INGRESOS'!H33</f>
        <v>6057.49</v>
      </c>
      <c r="I34" s="9">
        <f>'COSTOS'!E$114*'INGRESOS'!I33</f>
        <v>6299.79</v>
      </c>
      <c r="J34" s="9">
        <f>'COSTOS'!E$114*'INGRESOS'!J33</f>
        <v>6551.78</v>
      </c>
      <c r="K34" s="9">
        <f>'COSTOS'!E$114*'INGRESOS'!K33</f>
        <v>6813.85</v>
      </c>
    </row>
    <row r="35" spans="1:11" ht="18" customHeight="1">
      <c r="A35" s="5" t="s">
        <v>252</v>
      </c>
      <c r="B35" s="9">
        <f>'COSTOS'!H$114*'INGRESOS'!B33</f>
        <v>9500.0</v>
      </c>
      <c r="C35" s="9">
        <f>'COSTOS'!H$114*'INGRESOS'!C33</f>
        <v>9785.0</v>
      </c>
      <c r="D35" s="9">
        <f>'COSTOS'!H$114*'INGRESOS'!D33</f>
        <v>10078.55</v>
      </c>
      <c r="E35" s="9">
        <f>'COSTOS'!H$114*'INGRESOS'!E33</f>
        <v>10380.91</v>
      </c>
      <c r="F35" s="9">
        <f>'COSTOS'!H$114*'INGRESOS'!F33</f>
        <v>10692.33</v>
      </c>
      <c r="G35" s="9">
        <f>'COSTOS'!H$114*'INGRESOS'!G33</f>
        <v>11066.57</v>
      </c>
      <c r="H35" s="9">
        <f>'COSTOS'!H$114*'INGRESOS'!H33</f>
        <v>11509.23</v>
      </c>
      <c r="I35" s="9">
        <f>'COSTOS'!H$114*'INGRESOS'!I33</f>
        <v>11969.6</v>
      </c>
      <c r="J35" s="9">
        <f>'COSTOS'!H$114*'INGRESOS'!J33</f>
        <v>12448.38</v>
      </c>
      <c r="K35" s="9">
        <f>'COSTOS'!H$114*'INGRESOS'!K33</f>
        <v>12946.32</v>
      </c>
    </row>
    <row r="36" spans="1:11" ht="18" customHeight="1">
      <c r="A36" s="5" t="s">
        <v>253</v>
      </c>
      <c r="B36" s="9">
        <f>'COSTOS'!K$114*'INGRESOS'!B33</f>
        <v>17000.0</v>
      </c>
      <c r="C36" s="9">
        <f>'COSTOS'!K$114*'INGRESOS'!C33</f>
        <v>17510.0</v>
      </c>
      <c r="D36" s="9">
        <f>'COSTOS'!K$114*'INGRESOS'!D33</f>
        <v>18035.3</v>
      </c>
      <c r="E36" s="9">
        <f>'COSTOS'!K$114*'INGRESOS'!E33</f>
        <v>18576.36</v>
      </c>
      <c r="F36" s="9">
        <f>'COSTOS'!K$114*'INGRESOS'!F33</f>
        <v>19133.65</v>
      </c>
      <c r="G36" s="9">
        <f>'COSTOS'!K$114*'INGRESOS'!G33</f>
        <v>19803.33</v>
      </c>
      <c r="H36" s="9">
        <f>'COSTOS'!K$114*'INGRESOS'!H33</f>
        <v>20595.46</v>
      </c>
      <c r="I36" s="9">
        <f>'COSTOS'!K$114*'INGRESOS'!I33</f>
        <v>21419.28</v>
      </c>
      <c r="J36" s="9">
        <f>'COSTOS'!K$114*'INGRESOS'!J33</f>
        <v>22276.05</v>
      </c>
      <c r="K36" s="9">
        <f>'COSTOS'!K$114*'INGRESOS'!K33</f>
        <v>23167.09</v>
      </c>
    </row>
    <row r="38" spans="1:11" ht="20" customHeight="1">
      <c r="A38" s="3" t="s">
        <v>254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1" ht="20" customHeight="1">
      <c r="A39" s="4" t="s">
        <v>3</v>
      </c>
      <c r="B39" s="4" t="s">
        <v>4</v>
      </c>
      <c r="C39" s="4" t="s">
        <v>5</v>
      </c>
      <c r="D39" s="4" t="s">
        <v>6</v>
      </c>
      <c r="E39" s="4" t="s">
        <v>7</v>
      </c>
      <c r="F39" s="4" t="s">
        <v>8</v>
      </c>
      <c r="G39" s="4" t="s">
        <v>9</v>
      </c>
      <c r="H39" s="4" t="s">
        <v>10</v>
      </c>
      <c r="I39" s="4" t="s">
        <v>11</v>
      </c>
      <c r="J39" s="4" t="s">
        <v>12</v>
      </c>
      <c r="K39" s="4" t="s">
        <v>13</v>
      </c>
    </row>
    <row r="40" spans="1:11" ht="18" customHeight="1">
      <c r="A40" s="5" t="s">
        <v>255</v>
      </c>
      <c r="B40" s="9">
        <f>IFERROR('COSTOS'!B27/B13,0)</f>
        <v>111000.0</v>
      </c>
      <c r="C40" s="9">
        <f>IFERROR('COSTOS'!C27/C13,0)</f>
        <v>114330.0</v>
      </c>
      <c r="D40" s="9">
        <f>IFERROR('COSTOS'!D27/D13,0)</f>
        <v>80274.77</v>
      </c>
      <c r="E40" s="9">
        <f>IFERROR('COSTOS'!E27/E13,0)</f>
        <v>82683.01</v>
      </c>
      <c r="F40" s="9">
        <f>IFERROR('COSTOS'!F27/F13,0)</f>
        <v>65279.51</v>
      </c>
      <c r="G40" s="9">
        <f>IFERROR('COSTOS'!G27/G13,0)</f>
        <v>89988.65</v>
      </c>
      <c r="H40" s="9">
        <f>IFERROR('COSTOS'!H27/H13,0)</f>
        <v>77535.85</v>
      </c>
      <c r="I40" s="9">
        <f>IFERROR('COSTOS'!I27/I13,0)</f>
        <v>63942.85</v>
      </c>
      <c r="J40" s="9">
        <f>IFERROR('COSTOS'!J27/J13,0)</f>
        <v>82290.35</v>
      </c>
      <c r="K40" s="9">
        <f>IFERROR('COSTOS'!K27/K13,0)</f>
        <v>71136.6</v>
      </c>
    </row>
    <row r="41" spans="1:11" ht="18" customHeight="1">
      <c r="A41" s="5" t="s">
        <v>256</v>
      </c>
      <c r="B41" s="9">
        <f>IFERROR('COSTOS'!B40/B14,0)</f>
        <v>17000.0</v>
      </c>
      <c r="C41" s="9">
        <f>IFERROR('COSTOS'!C40/C14,0)</f>
        <v>17510.0</v>
      </c>
      <c r="D41" s="9">
        <f>IFERROR('COSTOS'!D40/D14,0)</f>
        <v>16588.62</v>
      </c>
      <c r="E41" s="9">
        <f>IFERROR('COSTOS'!E40/E14,0)</f>
        <v>15683.85</v>
      </c>
      <c r="F41" s="9">
        <f>IFERROR('COSTOS'!F40/F14,0)</f>
        <v>15096.5</v>
      </c>
      <c r="G41" s="9">
        <f>IFERROR('COSTOS'!G40/G14,0)</f>
        <v>14968.99</v>
      </c>
      <c r="H41" s="9">
        <f>IFERROR('COSTOS'!H40/H14,0)</f>
        <v>15143.72</v>
      </c>
      <c r="I41" s="9">
        <f>IFERROR('COSTOS'!I40/I14,0)</f>
        <v>15051.02</v>
      </c>
      <c r="J41" s="9">
        <f>IFERROR('COSTOS'!J40/J14,0)</f>
        <v>15092.92</v>
      </c>
      <c r="K41" s="9">
        <f>IFERROR('COSTOS'!K40/K14,0)</f>
        <v>15242.06</v>
      </c>
    </row>
    <row r="42" spans="1:11" ht="18" customHeight="1">
      <c r="A42" s="5" t="s">
        <v>257</v>
      </c>
      <c r="B42" s="9">
        <f>IFERROR(B6/B15,0)</f>
        <v>31347.52</v>
      </c>
      <c r="C42" s="9">
        <f>IFERROR(C6/C15,0)</f>
        <v>28705.37</v>
      </c>
      <c r="D42" s="9">
        <f>IFERROR(D6/D15,0)</f>
        <v>19521.07</v>
      </c>
      <c r="E42" s="9">
        <f>IFERROR(E6/E15,0)</f>
        <v>15150.05</v>
      </c>
      <c r="F42" s="9">
        <f>IFERROR(F6/F15,0)</f>
        <v>12616.34</v>
      </c>
      <c r="G42" s="9">
        <f>IFERROR(G6/G15,0)</f>
        <v>10911.03</v>
      </c>
      <c r="H42" s="9">
        <f>IFERROR(H6/H15,0)</f>
        <v>9464.14</v>
      </c>
      <c r="I42" s="9">
        <f>IFERROR(I6/I15,0)</f>
        <v>10123.74</v>
      </c>
      <c r="J42" s="9">
        <f>IFERROR(J6/J15,0)</f>
        <v>8831.02</v>
      </c>
      <c r="K42" s="9">
        <f>IFERROR(K6/K15,0)</f>
        <v>8036.23</v>
      </c>
    </row>
    <row r="43" spans="1:11" ht="18" customHeight="1">
      <c r="A43" s="5" t="s">
        <v>258</v>
      </c>
      <c r="B43" s="9">
        <f>IFERROR(B7/B15,0)</f>
        <v>14224.93</v>
      </c>
      <c r="C43" s="9">
        <f>IFERROR(C7/C15,0)</f>
        <v>10561.36</v>
      </c>
      <c r="D43" s="9">
        <f>IFERROR(D7/D15,0)</f>
        <v>6393.42</v>
      </c>
      <c r="E43" s="9">
        <f>IFERROR(E7/E15,0)</f>
        <v>4864.6</v>
      </c>
      <c r="F43" s="9">
        <f>IFERROR(F7/F15,0)</f>
        <v>3481.21</v>
      </c>
      <c r="G43" s="9">
        <f>IFERROR(G7/G15,0)</f>
        <v>2422.59</v>
      </c>
      <c r="H43" s="9">
        <f>IFERROR(H7/H15,0)</f>
        <v>2079.46</v>
      </c>
      <c r="I43" s="9">
        <f>IFERROR(I7/I15,0)</f>
        <v>1840.66</v>
      </c>
      <c r="J43" s="9">
        <f>IFERROR(J7/J15,0)</f>
        <v>1589.02</v>
      </c>
      <c r="K43" s="9">
        <f>IFERROR(K7/K15,0)</f>
        <v>1431.09</v>
      </c>
    </row>
    <row r="45" spans="1:11" ht="18" customHeight="1">
      <c r="A45" s="13" t="s">
        <v>259</v>
      </c>
    </row>
  </sheetData>
  <mergeCells count="5">
    <mergeCell ref="A1:L1"/>
    <mergeCell ref="A11:K11"/>
    <mergeCell ref="A18:K18"/>
    <mergeCell ref="A29:K29"/>
    <mergeCell ref="A38:K38"/>
  </mergeCells>
  <pageMargins left="0.25" right="0.25" top="0.35" bottom="0.3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271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260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20" customHeight="1">
      <c r="A3" s="3" t="s">
        <v>261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 ht="20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spans="1:12" ht="18" customHeight="1">
      <c r="A5" s="5" t="s">
        <v>262</v>
      </c>
      <c r="B5" s="9">
        <f>K28</f>
        <v>81503.54</v>
      </c>
      <c r="C5" s="9">
        <f>K49</f>
        <v>85578.72</v>
      </c>
      <c r="D5" s="9">
        <f>K71</f>
        <v>89857.66</v>
      </c>
      <c r="E5" s="9">
        <f>K94</f>
        <v>94350.54</v>
      </c>
      <c r="F5" s="9">
        <f>K119</f>
        <v>114294.0</v>
      </c>
      <c r="G5" s="9">
        <f>K144</f>
        <v>120008.7</v>
      </c>
      <c r="H5" s="9">
        <f>K170</f>
        <v>126009.14</v>
      </c>
      <c r="I5" s="9">
        <f>K196</f>
        <v>132309.6</v>
      </c>
      <c r="J5" s="9">
        <f>K224</f>
        <v>138925.07</v>
      </c>
      <c r="K5" s="9">
        <f>K252</f>
        <v>145871.33</v>
      </c>
    </row>
    <row r="6" spans="1:12" ht="18" customHeight="1">
      <c r="A6" s="5" t="s">
        <v>263</v>
      </c>
      <c r="B6" s="9">
        <f>K40</f>
        <v>94042.55</v>
      </c>
      <c r="C6" s="9">
        <f>K62</f>
        <v>143526.84</v>
      </c>
      <c r="D6" s="9">
        <f>K85</f>
        <v>165929.12</v>
      </c>
      <c r="E6" s="9">
        <f>K109</f>
        <v>174225.58</v>
      </c>
      <c r="F6" s="9">
        <f>K134</f>
        <v>182936.86</v>
      </c>
      <c r="G6" s="9">
        <f>K160</f>
        <v>207309.64</v>
      </c>
      <c r="H6" s="9">
        <f>K186</f>
        <v>217675.12</v>
      </c>
      <c r="I6" s="9">
        <f>K214</f>
        <v>273341.04</v>
      </c>
      <c r="J6" s="9">
        <f>K242</f>
        <v>287008.09</v>
      </c>
      <c r="K6" s="9">
        <f>K270</f>
        <v>301358.5</v>
      </c>
    </row>
    <row r="7" spans="1:12" ht="18" customHeight="1">
      <c r="A7" s="5" t="s">
        <v>264</v>
      </c>
      <c r="B7" s="9">
        <f>K35</f>
        <v>15225.94</v>
      </c>
      <c r="C7" s="9">
        <f>K57</f>
        <v>15987.23</v>
      </c>
      <c r="D7" s="9">
        <f>K80</f>
        <v>16786.6</v>
      </c>
      <c r="E7" s="9">
        <f>K104</f>
        <v>32851.86</v>
      </c>
      <c r="F7" s="9">
        <f>K129</f>
        <v>34494.45</v>
      </c>
      <c r="G7" s="9">
        <f>K155</f>
        <v>36219.18</v>
      </c>
      <c r="H7" s="9">
        <f>K181</f>
        <v>38030.14</v>
      </c>
      <c r="I7" s="9">
        <f>K209</f>
        <v>55157.58</v>
      </c>
      <c r="J7" s="9">
        <f>K237</f>
        <v>57915.46</v>
      </c>
      <c r="K7" s="9">
        <f>K265</f>
        <v>60811.23</v>
      </c>
    </row>
    <row r="8" spans="1:12" ht="18" customHeight="1">
      <c r="A8" s="8" t="s">
        <v>265</v>
      </c>
      <c r="B8" s="8">
        <f>SUM(B5,B6,B7)</f>
        <v>190772.03</v>
      </c>
      <c r="C8" s="8">
        <f>SUM(C5,C6,C7)</f>
        <v>245092.8</v>
      </c>
      <c r="D8" s="8">
        <f>SUM(D5,D6,D7)</f>
        <v>272573.37</v>
      </c>
      <c r="E8" s="8">
        <f>SUM(E5,E6,E7)</f>
        <v>301427.98</v>
      </c>
      <c r="F8" s="8">
        <f>SUM(F5,F6,F7)</f>
        <v>331725.32</v>
      </c>
      <c r="G8" s="8">
        <f>SUM(G5,G6,G7)</f>
        <v>363537.52</v>
      </c>
      <c r="H8" s="8">
        <f>SUM(H5,H6,H7)</f>
        <v>381714.39</v>
      </c>
      <c r="I8" s="8">
        <f>SUM(I5,I6,I7)</f>
        <v>460808.22</v>
      </c>
      <c r="J8" s="8">
        <f>SUM(J5,J6,J7)</f>
        <v>483848.63</v>
      </c>
      <c r="K8" s="8">
        <f>SUM(K5,K6,K7)</f>
        <v>508041.06</v>
      </c>
    </row>
    <row r="9" spans="1:12" ht="18" customHeight="1">
      <c r="A9" s="5" t="s">
        <v>266</v>
      </c>
      <c r="B9" s="9">
        <f>K39</f>
        <v>40303.95</v>
      </c>
      <c r="C9" s="9">
        <f>K61</f>
        <v>87101.31</v>
      </c>
      <c r="D9" s="9">
        <f>K84</f>
        <v>106682.32</v>
      </c>
      <c r="E9" s="9">
        <f>K108</f>
        <v>112016.43</v>
      </c>
      <c r="F9" s="9">
        <f>K133</f>
        <v>117617.25</v>
      </c>
      <c r="G9" s="9">
        <f>K159</f>
        <v>138724.05</v>
      </c>
      <c r="H9" s="9">
        <f>K185</f>
        <v>145660.26</v>
      </c>
      <c r="I9" s="9">
        <f>K213</f>
        <v>197725.44</v>
      </c>
      <c r="J9" s="9">
        <f>K241</f>
        <v>207611.71</v>
      </c>
      <c r="K9" s="9">
        <f>K269</f>
        <v>217992.29</v>
      </c>
    </row>
    <row r="10" spans="1:12" ht="18" customHeight="1">
      <c r="A10" s="5" t="s">
        <v>267</v>
      </c>
      <c r="B10" s="9">
        <f>K38</f>
        <v>53738.6</v>
      </c>
      <c r="C10" s="9">
        <f>K60</f>
        <v>56425.53</v>
      </c>
      <c r="D10" s="9">
        <f>K83</f>
        <v>59246.81</v>
      </c>
      <c r="E10" s="9">
        <f>K107</f>
        <v>62209.15</v>
      </c>
      <c r="F10" s="9">
        <f>K132</f>
        <v>65319.6</v>
      </c>
      <c r="G10" s="9">
        <f>K158</f>
        <v>68585.58</v>
      </c>
      <c r="H10" s="9">
        <f>K184</f>
        <v>72014.86</v>
      </c>
      <c r="I10" s="9">
        <f>K212</f>
        <v>75615.61</v>
      </c>
      <c r="J10" s="9">
        <f>K240</f>
        <v>79396.39</v>
      </c>
      <c r="K10" s="9">
        <f>K268</f>
        <v>83366.21</v>
      </c>
    </row>
    <row r="13" spans="1:12" ht="20" customHeight="1">
      <c r="A13" s="3" t="s">
        <v>268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2" ht="18" customHeight="1">
      <c r="A14" s="4" t="s">
        <v>3</v>
      </c>
      <c r="B14" s="4" t="s">
        <v>269</v>
      </c>
      <c r="C14" s="4" t="s">
        <v>270</v>
      </c>
    </row>
    <row r="15" spans="1:12" ht="18" customHeight="1">
      <c r="A15" s="5" t="s">
        <v>271</v>
      </c>
      <c r="B15" s="11">
        <v>0.05</v>
      </c>
      <c r="C15" s="12" t="s">
        <v>272</v>
      </c>
    </row>
    <row r="16" spans="1:12" ht="18" customHeight="1">
      <c r="A16" s="5" t="s">
        <v>273</v>
      </c>
      <c r="B16" s="10">
        <v>2</v>
      </c>
      <c r="C16" s="12" t="s">
        <v>274</v>
      </c>
    </row>
    <row r="17" spans="1:11" ht="18" customHeight="1">
      <c r="A17" s="5" t="s">
        <v>275</v>
      </c>
      <c r="B17" s="11">
        <v>0.09</v>
      </c>
      <c r="C17" s="12" t="s">
        <v>276</v>
      </c>
    </row>
    <row r="18" spans="1:11" ht="18" customHeight="1">
      <c r="A18" s="5" t="s">
        <v>277</v>
      </c>
      <c r="B18" s="11">
        <v>0.0833</v>
      </c>
      <c r="C18" s="12" t="s">
        <v>278</v>
      </c>
    </row>
    <row r="19" spans="1:11" ht="18" customHeight="1">
      <c r="A19" s="5" t="s">
        <v>279</v>
      </c>
      <c r="B19" s="11">
        <v>0.5</v>
      </c>
      <c r="C19" s="12" t="s">
        <v>280</v>
      </c>
    </row>
    <row r="20" spans="1:11" ht="18" customHeight="1">
      <c r="A20" s="5" t="s">
        <v>281</v>
      </c>
      <c r="B20" s="10">
        <v>1.166666666666667</v>
      </c>
      <c r="C20" s="12" t="s">
        <v>282</v>
      </c>
    </row>
    <row r="23" spans="1:11" ht="20" customHeight="1">
      <c r="A23" s="3" t="s">
        <v>283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ht="18" customHeight="1">
      <c r="A24" s="4" t="s">
        <v>284</v>
      </c>
      <c r="B24" s="4" t="s">
        <v>285</v>
      </c>
      <c r="C24" s="4" t="s">
        <v>286</v>
      </c>
      <c r="D24" s="4" t="s">
        <v>287</v>
      </c>
      <c r="E24" s="4" t="s">
        <v>288</v>
      </c>
      <c r="F24" s="4" t="s">
        <v>289</v>
      </c>
      <c r="G24" s="4" t="s">
        <v>290</v>
      </c>
      <c r="H24" s="4" t="s">
        <v>291</v>
      </c>
      <c r="I24" s="4" t="s">
        <v>292</v>
      </c>
      <c r="J24" s="4" t="s">
        <v>293</v>
      </c>
      <c r="K24" s="4" t="s">
        <v>294</v>
      </c>
    </row>
    <row r="25" spans="1:11" ht="18" customHeight="1">
      <c r="A25" s="3" t="s">
        <v>295</v>
      </c>
    </row>
    <row r="26" spans="1:11" ht="18" customHeight="1">
      <c r="A26" s="14" t="s">
        <v>296</v>
      </c>
      <c r="B26" s="15">
        <v>3750</v>
      </c>
      <c r="C26" s="15">
        <f>B26*12</f>
        <v>45000.0</v>
      </c>
      <c r="D26" s="15">
        <f>B26*$B$16</f>
        <v>7500.0</v>
      </c>
      <c r="E26" s="15">
        <f>C26*$B$17</f>
        <v>4050.0</v>
      </c>
      <c r="F26" s="15">
        <f>(C26+D26)*$B$18</f>
        <v>4373.25</v>
      </c>
      <c r="G26" s="15">
        <f>B26*$B$19</f>
        <v>1875.0</v>
      </c>
      <c r="H26" s="15">
        <f>0</f>
        <v>0.0</v>
      </c>
      <c r="I26" s="15">
        <f>B26*$B$20</f>
        <v>4375.0</v>
      </c>
      <c r="J26" s="15">
        <f>SUM(D26:I26)</f>
        <v>22173.25</v>
      </c>
      <c r="K26" s="15">
        <f>C26+J26</f>
        <v>67173.25</v>
      </c>
    </row>
    <row r="27" spans="1:11" ht="18" customHeight="1">
      <c r="A27" s="14" t="s">
        <v>297</v>
      </c>
      <c r="B27" s="15">
        <v>800</v>
      </c>
      <c r="C27" s="15">
        <f>B27*12</f>
        <v>9600.0</v>
      </c>
      <c r="D27" s="15">
        <f>B27*$B$16</f>
        <v>1600.0</v>
      </c>
      <c r="E27" s="15">
        <f>C27*$B$17</f>
        <v>864.0</v>
      </c>
      <c r="F27" s="15">
        <f>(C27+D27)*$B$18</f>
        <v>932.96</v>
      </c>
      <c r="G27" s="15">
        <f>B27*$B$19</f>
        <v>400.0</v>
      </c>
      <c r="H27" s="15">
        <f>0</f>
        <v>0.0</v>
      </c>
      <c r="I27" s="15">
        <f>B27*$B$20</f>
        <v>933.33</v>
      </c>
      <c r="J27" s="15">
        <f>SUM(D27:I27)</f>
        <v>4730.29</v>
      </c>
      <c r="K27" s="15">
        <f>C27+J27</f>
        <v>14330.29</v>
      </c>
    </row>
    <row r="28" spans="1:11" ht="18" customHeight="1">
      <c r="A28" s="8" t="s">
        <v>298</v>
      </c>
      <c r="K28" s="8">
        <f>SUM(K26:K27)</f>
        <v>81503.54</v>
      </c>
    </row>
    <row r="29" spans="1:11" ht="18" customHeight="1">
      <c r="A29" s="3" t="s">
        <v>299</v>
      </c>
    </row>
    <row r="30" spans="1:11" ht="18" customHeight="1">
      <c r="A30" s="14" t="s">
        <v>300</v>
      </c>
      <c r="B30" s="15">
        <v>3000</v>
      </c>
      <c r="C30" s="15">
        <f>B30*12</f>
        <v>36000.0</v>
      </c>
      <c r="D30" s="15">
        <f>B30*$B$16</f>
        <v>6000.0</v>
      </c>
      <c r="E30" s="15">
        <f>C30*$B$17</f>
        <v>3240.0</v>
      </c>
      <c r="F30" s="15">
        <f>(C30+D30)*$B$18</f>
        <v>3498.6</v>
      </c>
      <c r="G30" s="15">
        <f>B30*$B$19</f>
        <v>1500.0</v>
      </c>
      <c r="H30" s="15">
        <f>0</f>
        <v>0.0</v>
      </c>
      <c r="I30" s="15">
        <f>B30*$B$20</f>
        <v>3500.0</v>
      </c>
      <c r="J30" s="15">
        <f>SUM(D30:I30)</f>
        <v>17738.6</v>
      </c>
      <c r="K30" s="15">
        <f>C30+J30</f>
        <v>53738.6</v>
      </c>
    </row>
    <row r="31" spans="1:11" ht="18" customHeight="1">
      <c r="A31" s="14" t="s">
        <v>301</v>
      </c>
      <c r="B31" s="15">
        <v>2250</v>
      </c>
      <c r="C31" s="15">
        <f>B31*12</f>
        <v>27000.0</v>
      </c>
      <c r="D31" s="15">
        <f>B31*$B$16</f>
        <v>4500.0</v>
      </c>
      <c r="E31" s="15">
        <f>C31*$B$17</f>
        <v>2430.0</v>
      </c>
      <c r="F31" s="15">
        <f>(C31+D31)*$B$18</f>
        <v>2623.95</v>
      </c>
      <c r="G31" s="15">
        <f>B31*$B$19</f>
        <v>1125.0</v>
      </c>
      <c r="H31" s="15">
        <f>0</f>
        <v>0.0</v>
      </c>
      <c r="I31" s="15">
        <f>B31*$B$20</f>
        <v>2625.0</v>
      </c>
      <c r="J31" s="15">
        <f>SUM(D31:I31)</f>
        <v>13303.95</v>
      </c>
      <c r="K31" s="15">
        <f>C31+J31</f>
        <v>40303.95</v>
      </c>
    </row>
    <row r="32" spans="1:11" ht="18" customHeight="1">
      <c r="A32" s="8" t="s">
        <v>302</v>
      </c>
      <c r="K32" s="8">
        <f>SUM(K30:K31)</f>
        <v>94042.55</v>
      </c>
    </row>
    <row r="33" spans="1:11" ht="18" customHeight="1">
      <c r="A33" s="3" t="s">
        <v>303</v>
      </c>
    </row>
    <row r="34" spans="1:11" ht="18" customHeight="1">
      <c r="A34" s="14" t="s">
        <v>304</v>
      </c>
      <c r="B34" s="15">
        <v>850</v>
      </c>
      <c r="C34" s="15">
        <f>B34*12</f>
        <v>10200.0</v>
      </c>
      <c r="D34" s="15">
        <f>B34*$B$16</f>
        <v>1700.0</v>
      </c>
      <c r="E34" s="15">
        <f>C34*$B$17</f>
        <v>918.0</v>
      </c>
      <c r="F34" s="15">
        <f>(C34+D34)*$B$18</f>
        <v>991.27</v>
      </c>
      <c r="G34" s="15">
        <f>B34*$B$19</f>
        <v>425.0</v>
      </c>
      <c r="H34" s="15">
        <f>0</f>
        <v>0.0</v>
      </c>
      <c r="I34" s="15">
        <f>B34*$B$20</f>
        <v>991.67</v>
      </c>
      <c r="J34" s="15">
        <f>SUM(D34:I34)</f>
        <v>5025.94</v>
      </c>
      <c r="K34" s="15">
        <f>C34+J34</f>
        <v>15225.94</v>
      </c>
    </row>
    <row r="35" spans="1:11" ht="18" customHeight="1">
      <c r="A35" s="8" t="s">
        <v>305</v>
      </c>
      <c r="K35" s="8">
        <f>SUM(K34:K34)</f>
        <v>15225.94</v>
      </c>
    </row>
    <row r="37" spans="1:11" ht="18" customHeight="1">
      <c r="A37" s="16" t="s">
        <v>306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spans="1:11" ht="18" customHeight="1">
      <c r="A38" s="16" t="s">
        <v>307</v>
      </c>
      <c r="B38" s="16"/>
      <c r="C38" s="16"/>
      <c r="D38" s="16"/>
      <c r="E38" s="16"/>
      <c r="F38" s="16"/>
      <c r="G38" s="16"/>
      <c r="H38" s="16"/>
      <c r="I38" s="16"/>
      <c r="J38" s="16"/>
      <c r="K38" s="17">
        <f>K30</f>
        <v>53738.6</v>
      </c>
    </row>
    <row r="39" spans="1:11" ht="18" customHeight="1">
      <c r="A39" s="16" t="s">
        <v>233</v>
      </c>
      <c r="B39" s="16"/>
      <c r="C39" s="16"/>
      <c r="D39" s="16"/>
      <c r="E39" s="16"/>
      <c r="F39" s="16"/>
      <c r="G39" s="16"/>
      <c r="H39" s="16"/>
      <c r="I39" s="16"/>
      <c r="J39" s="16"/>
      <c r="K39" s="17">
        <f>K31</f>
        <v>40303.95</v>
      </c>
    </row>
    <row r="40" spans="1:11" ht="18" customHeight="1">
      <c r="A40" s="16" t="s">
        <v>308</v>
      </c>
      <c r="B40" s="16"/>
      <c r="C40" s="16"/>
      <c r="D40" s="16"/>
      <c r="E40" s="16"/>
      <c r="F40" s="16"/>
      <c r="G40" s="16"/>
      <c r="H40" s="16"/>
      <c r="I40" s="16"/>
      <c r="J40" s="16"/>
      <c r="K40" s="18">
        <f>SUM(K38:K39)</f>
        <v>94042.55</v>
      </c>
    </row>
    <row r="41" spans="1:11" ht="30" customHeight="1">
      <c r="A41" s="19" t="s">
        <v>309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4" spans="1:11" ht="20" customHeight="1">
      <c r="A44" s="3" t="s">
        <v>310</v>
      </c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 ht="18" customHeight="1">
      <c r="A45" s="4" t="s">
        <v>284</v>
      </c>
      <c r="B45" s="4" t="s">
        <v>285</v>
      </c>
      <c r="C45" s="4" t="s">
        <v>286</v>
      </c>
      <c r="D45" s="4" t="s">
        <v>287</v>
      </c>
      <c r="E45" s="4" t="s">
        <v>288</v>
      </c>
      <c r="F45" s="4" t="s">
        <v>289</v>
      </c>
      <c r="G45" s="4" t="s">
        <v>290</v>
      </c>
      <c r="H45" s="4" t="s">
        <v>291</v>
      </c>
      <c r="I45" s="4" t="s">
        <v>292</v>
      </c>
      <c r="J45" s="4" t="s">
        <v>293</v>
      </c>
      <c r="K45" s="4" t="s">
        <v>294</v>
      </c>
    </row>
    <row r="46" spans="1:11" ht="18" customHeight="1">
      <c r="A46" s="3" t="s">
        <v>295</v>
      </c>
    </row>
    <row r="47" spans="1:11" ht="18" customHeight="1">
      <c r="A47" s="14" t="s">
        <v>296</v>
      </c>
      <c r="B47" s="15">
        <f>B26*(1+$B$15)</f>
        <v>3937.5</v>
      </c>
      <c r="C47" s="15">
        <f>B47*12</f>
        <v>47250.0</v>
      </c>
      <c r="D47" s="15">
        <f>B47*$B$16</f>
        <v>7875.0</v>
      </c>
      <c r="E47" s="15">
        <f>C47*$B$17</f>
        <v>4252.5</v>
      </c>
      <c r="F47" s="15">
        <f>(C47+D47)*$B$18</f>
        <v>4591.91</v>
      </c>
      <c r="G47" s="15">
        <f>B47*$B$19</f>
        <v>1968.75</v>
      </c>
      <c r="H47" s="15">
        <f>0</f>
        <v>0.0</v>
      </c>
      <c r="I47" s="15">
        <f>B47*$B$20</f>
        <v>4593.75</v>
      </c>
      <c r="J47" s="15">
        <f>SUM(D47:I47)</f>
        <v>23281.91</v>
      </c>
      <c r="K47" s="15">
        <f>C47+J47</f>
        <v>70531.91</v>
      </c>
    </row>
    <row r="48" spans="1:11" ht="18" customHeight="1">
      <c r="A48" s="14" t="s">
        <v>297</v>
      </c>
      <c r="B48" s="15">
        <f>B27*(1+$B$15)</f>
        <v>840.0</v>
      </c>
      <c r="C48" s="15">
        <f>B48*12</f>
        <v>10080.0</v>
      </c>
      <c r="D48" s="15">
        <f>B48*$B$16</f>
        <v>1680.0</v>
      </c>
      <c r="E48" s="15">
        <f>C48*$B$17</f>
        <v>907.2</v>
      </c>
      <c r="F48" s="15">
        <f>(C48+D48)*$B$18</f>
        <v>979.61</v>
      </c>
      <c r="G48" s="15">
        <f>B48*$B$19</f>
        <v>420.0</v>
      </c>
      <c r="H48" s="15">
        <f>0</f>
        <v>0.0</v>
      </c>
      <c r="I48" s="15">
        <f>B48*$B$20</f>
        <v>980.0</v>
      </c>
      <c r="J48" s="15">
        <f>SUM(D48:I48)</f>
        <v>4966.81</v>
      </c>
      <c r="K48" s="15">
        <f>C48+J48</f>
        <v>15046.81</v>
      </c>
    </row>
    <row r="49" spans="1:11" ht="18" customHeight="1">
      <c r="A49" s="8" t="s">
        <v>298</v>
      </c>
      <c r="K49" s="8">
        <f>SUM(K47:K48)</f>
        <v>85578.72</v>
      </c>
    </row>
    <row r="50" spans="1:11" ht="18" customHeight="1">
      <c r="A50" s="3" t="s">
        <v>299</v>
      </c>
    </row>
    <row r="51" spans="1:11" ht="18" customHeight="1">
      <c r="A51" s="14" t="s">
        <v>300</v>
      </c>
      <c r="B51" s="15">
        <f>B30*(1+$B$15)</f>
        <v>3150.0</v>
      </c>
      <c r="C51" s="15">
        <f>B51*12</f>
        <v>37800.0</v>
      </c>
      <c r="D51" s="15">
        <f>B51*$B$16</f>
        <v>6300.0</v>
      </c>
      <c r="E51" s="15">
        <f>C51*$B$17</f>
        <v>3402.0</v>
      </c>
      <c r="F51" s="15">
        <f>(C51+D51)*$B$18</f>
        <v>3673.53</v>
      </c>
      <c r="G51" s="15">
        <f>B51*$B$19</f>
        <v>1575.0</v>
      </c>
      <c r="H51" s="15">
        <f>0</f>
        <v>0.0</v>
      </c>
      <c r="I51" s="15">
        <f>B51*$B$20</f>
        <v>3675.0</v>
      </c>
      <c r="J51" s="15">
        <f>SUM(D51:I51)</f>
        <v>18625.53</v>
      </c>
      <c r="K51" s="15">
        <f>C51+J51</f>
        <v>56425.53</v>
      </c>
    </row>
    <row r="52" spans="1:11" ht="18" customHeight="1">
      <c r="A52" s="14" t="s">
        <v>301</v>
      </c>
      <c r="B52" s="15">
        <f>B31*(1+$B$15)</f>
        <v>2362.5</v>
      </c>
      <c r="C52" s="15">
        <f>B52*12</f>
        <v>28350.0</v>
      </c>
      <c r="D52" s="15">
        <f>B52*$B$16</f>
        <v>4725.0</v>
      </c>
      <c r="E52" s="15">
        <f>C52*$B$17</f>
        <v>2551.5</v>
      </c>
      <c r="F52" s="15">
        <f>(C52+D52)*$B$18</f>
        <v>2755.15</v>
      </c>
      <c r="G52" s="15">
        <f>B52*$B$19</f>
        <v>1181.25</v>
      </c>
      <c r="H52" s="15">
        <f>0</f>
        <v>0.0</v>
      </c>
      <c r="I52" s="15">
        <f>B52*$B$20</f>
        <v>2756.25</v>
      </c>
      <c r="J52" s="15">
        <f>SUM(D52:I52)</f>
        <v>13969.15</v>
      </c>
      <c r="K52" s="15">
        <f>C52+J52</f>
        <v>42319.15</v>
      </c>
    </row>
    <row r="53" spans="1:11" ht="18" customHeight="1">
      <c r="A53" s="14" t="s">
        <v>311</v>
      </c>
      <c r="B53" s="15">
        <v>2500</v>
      </c>
      <c r="C53" s="15">
        <f>B53*12</f>
        <v>30000.0</v>
      </c>
      <c r="D53" s="15">
        <f>B53*$B$16</f>
        <v>5000.0</v>
      </c>
      <c r="E53" s="15">
        <f>C53*$B$17</f>
        <v>2700.0</v>
      </c>
      <c r="F53" s="15">
        <f>(C53+D53)*$B$18</f>
        <v>2915.5</v>
      </c>
      <c r="G53" s="15">
        <f>B53*$B$19</f>
        <v>1250.0</v>
      </c>
      <c r="H53" s="15">
        <f>0</f>
        <v>0.0</v>
      </c>
      <c r="I53" s="15">
        <f>B53*$B$20</f>
        <v>2916.67</v>
      </c>
      <c r="J53" s="15">
        <f>SUM(D53:I53)</f>
        <v>14782.17</v>
      </c>
      <c r="K53" s="15">
        <f>C53+J53</f>
        <v>44782.17</v>
      </c>
    </row>
    <row r="54" spans="1:11" ht="18" customHeight="1">
      <c r="A54" s="8" t="s">
        <v>302</v>
      </c>
      <c r="K54" s="8">
        <f>SUM(K51:K53)</f>
        <v>143526.84</v>
      </c>
    </row>
    <row r="55" spans="1:11" ht="18" customHeight="1">
      <c r="A55" s="3" t="s">
        <v>303</v>
      </c>
    </row>
    <row r="56" spans="1:11" ht="18" customHeight="1">
      <c r="A56" s="14" t="s">
        <v>304</v>
      </c>
      <c r="B56" s="15">
        <f>B34*(1+$B$15)</f>
        <v>892.5</v>
      </c>
      <c r="C56" s="15">
        <f>B56*12</f>
        <v>10710.0</v>
      </c>
      <c r="D56" s="15">
        <f>B56*$B$16</f>
        <v>1785.0</v>
      </c>
      <c r="E56" s="15">
        <f>C56*$B$17</f>
        <v>963.9</v>
      </c>
      <c r="F56" s="15">
        <f>(C56+D56)*$B$18</f>
        <v>1040.83</v>
      </c>
      <c r="G56" s="15">
        <f>B56*$B$19</f>
        <v>446.25</v>
      </c>
      <c r="H56" s="15">
        <f>0</f>
        <v>0.0</v>
      </c>
      <c r="I56" s="15">
        <f>B56*$B$20</f>
        <v>1041.25</v>
      </c>
      <c r="J56" s="15">
        <f>SUM(D56:I56)</f>
        <v>5277.23</v>
      </c>
      <c r="K56" s="15">
        <f>C56+J56</f>
        <v>15987.23</v>
      </c>
    </row>
    <row r="57" spans="1:11" ht="18" customHeight="1">
      <c r="A57" s="8" t="s">
        <v>305</v>
      </c>
      <c r="K57" s="8">
        <f>SUM(K56:K56)</f>
        <v>15987.23</v>
      </c>
    </row>
    <row r="59" spans="1:11" ht="18" customHeight="1">
      <c r="A59" s="16" t="s">
        <v>306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 spans="1:11" ht="18" customHeight="1">
      <c r="A60" s="16" t="s">
        <v>307</v>
      </c>
      <c r="B60" s="16"/>
      <c r="C60" s="16"/>
      <c r="D60" s="16"/>
      <c r="E60" s="16"/>
      <c r="F60" s="16"/>
      <c r="G60" s="16"/>
      <c r="H60" s="16"/>
      <c r="I60" s="16"/>
      <c r="J60" s="16"/>
      <c r="K60" s="17">
        <f>K51</f>
        <v>56425.53</v>
      </c>
    </row>
    <row r="61" spans="1:11" ht="18" customHeight="1">
      <c r="A61" s="16" t="s">
        <v>233</v>
      </c>
      <c r="B61" s="16"/>
      <c r="C61" s="16"/>
      <c r="D61" s="16"/>
      <c r="E61" s="16"/>
      <c r="F61" s="16"/>
      <c r="G61" s="16"/>
      <c r="H61" s="16"/>
      <c r="I61" s="16"/>
      <c r="J61" s="16"/>
      <c r="K61" s="17">
        <f>K52+K53</f>
        <v>87101.31</v>
      </c>
    </row>
    <row r="62" spans="1:11" ht="18" customHeight="1">
      <c r="A62" s="16" t="s">
        <v>308</v>
      </c>
      <c r="B62" s="16"/>
      <c r="C62" s="16"/>
      <c r="D62" s="16"/>
      <c r="E62" s="16"/>
      <c r="F62" s="16"/>
      <c r="G62" s="16"/>
      <c r="H62" s="16"/>
      <c r="I62" s="16"/>
      <c r="J62" s="16"/>
      <c r="K62" s="18">
        <f>SUM(K60:K61)</f>
        <v>143526.84</v>
      </c>
    </row>
    <row r="63" spans="1:11" ht="30" customHeight="1">
      <c r="A63" s="19" t="s">
        <v>309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</row>
    <row r="66" spans="1:11" ht="20" customHeight="1">
      <c r="A66" s="3" t="s">
        <v>312</v>
      </c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 ht="18" customHeight="1">
      <c r="A67" s="4" t="s">
        <v>284</v>
      </c>
      <c r="B67" s="4" t="s">
        <v>285</v>
      </c>
      <c r="C67" s="4" t="s">
        <v>286</v>
      </c>
      <c r="D67" s="4" t="s">
        <v>287</v>
      </c>
      <c r="E67" s="4" t="s">
        <v>288</v>
      </c>
      <c r="F67" s="4" t="s">
        <v>289</v>
      </c>
      <c r="G67" s="4" t="s">
        <v>290</v>
      </c>
      <c r="H67" s="4" t="s">
        <v>291</v>
      </c>
      <c r="I67" s="4" t="s">
        <v>292</v>
      </c>
      <c r="J67" s="4" t="s">
        <v>293</v>
      </c>
      <c r="K67" s="4" t="s">
        <v>294</v>
      </c>
    </row>
    <row r="68" spans="1:11" ht="18" customHeight="1">
      <c r="A68" s="3" t="s">
        <v>295</v>
      </c>
    </row>
    <row r="69" spans="1:11" ht="18" customHeight="1">
      <c r="A69" s="14" t="s">
        <v>296</v>
      </c>
      <c r="B69" s="15">
        <f>B47*(1+$B$15)</f>
        <v>4134.38</v>
      </c>
      <c r="C69" s="15">
        <f>B69*12</f>
        <v>49612.5</v>
      </c>
      <c r="D69" s="15">
        <f>B69*$B$16</f>
        <v>8268.75</v>
      </c>
      <c r="E69" s="15">
        <f>C69*$B$17</f>
        <v>4465.12</v>
      </c>
      <c r="F69" s="15">
        <f>(C69+D69)*$B$18</f>
        <v>4821.51</v>
      </c>
      <c r="G69" s="15">
        <f>B69*$B$19</f>
        <v>2067.19</v>
      </c>
      <c r="H69" s="15">
        <f>0</f>
        <v>0.0</v>
      </c>
      <c r="I69" s="15">
        <f>B69*$B$20</f>
        <v>4823.44</v>
      </c>
      <c r="J69" s="15">
        <f>SUM(D69:I69)</f>
        <v>24446.01</v>
      </c>
      <c r="K69" s="15">
        <f>C69+J69</f>
        <v>74058.51</v>
      </c>
    </row>
    <row r="70" spans="1:11" ht="18" customHeight="1">
      <c r="A70" s="14" t="s">
        <v>297</v>
      </c>
      <c r="B70" s="15">
        <f>B48*(1+$B$15)</f>
        <v>882.0</v>
      </c>
      <c r="C70" s="15">
        <f>B70*12</f>
        <v>10584.0</v>
      </c>
      <c r="D70" s="15">
        <f>B70*$B$16</f>
        <v>1764.0</v>
      </c>
      <c r="E70" s="15">
        <f>C70*$B$17</f>
        <v>952.56</v>
      </c>
      <c r="F70" s="15">
        <f>(C70+D70)*$B$18</f>
        <v>1028.59</v>
      </c>
      <c r="G70" s="15">
        <f>B70*$B$19</f>
        <v>441.0</v>
      </c>
      <c r="H70" s="15">
        <f>0</f>
        <v>0.0</v>
      </c>
      <c r="I70" s="15">
        <f>B70*$B$20</f>
        <v>1029.0</v>
      </c>
      <c r="J70" s="15">
        <f>SUM(D70:I70)</f>
        <v>5215.15</v>
      </c>
      <c r="K70" s="15">
        <f>C70+J70</f>
        <v>15799.15</v>
      </c>
    </row>
    <row r="71" spans="1:11" ht="18" customHeight="1">
      <c r="A71" s="8" t="s">
        <v>298</v>
      </c>
      <c r="K71" s="8">
        <f>SUM(K69:K70)</f>
        <v>89857.66</v>
      </c>
    </row>
    <row r="72" spans="1:11" ht="18" customHeight="1">
      <c r="A72" s="3" t="s">
        <v>299</v>
      </c>
    </row>
    <row r="73" spans="1:11" ht="18" customHeight="1">
      <c r="A73" s="14" t="s">
        <v>300</v>
      </c>
      <c r="B73" s="15">
        <f>B51*(1+$B$15)</f>
        <v>3307.5</v>
      </c>
      <c r="C73" s="15">
        <f>B73*12</f>
        <v>39690.0</v>
      </c>
      <c r="D73" s="15">
        <f>B73*$B$16</f>
        <v>6615.0</v>
      </c>
      <c r="E73" s="15">
        <f>C73*$B$17</f>
        <v>3572.1</v>
      </c>
      <c r="F73" s="15">
        <f>(C73+D73)*$B$18</f>
        <v>3857.21</v>
      </c>
      <c r="G73" s="15">
        <f>B73*$B$19</f>
        <v>1653.75</v>
      </c>
      <c r="H73" s="15">
        <f>0</f>
        <v>0.0</v>
      </c>
      <c r="I73" s="15">
        <f>B73*$B$20</f>
        <v>3858.75</v>
      </c>
      <c r="J73" s="15">
        <f>SUM(D73:I73)</f>
        <v>19556.81</v>
      </c>
      <c r="K73" s="15">
        <f>C73+J73</f>
        <v>59246.81</v>
      </c>
    </row>
    <row r="74" spans="1:11" ht="18" customHeight="1">
      <c r="A74" s="14" t="s">
        <v>301</v>
      </c>
      <c r="B74" s="15">
        <f>B52*(1+$B$15)</f>
        <v>2480.62</v>
      </c>
      <c r="C74" s="15">
        <f>B74*12</f>
        <v>29767.5</v>
      </c>
      <c r="D74" s="15">
        <f>B74*$B$16</f>
        <v>4961.25</v>
      </c>
      <c r="E74" s="15">
        <f>C74*$B$17</f>
        <v>2679.07</v>
      </c>
      <c r="F74" s="15">
        <f>(C74+D74)*$B$18</f>
        <v>2892.9</v>
      </c>
      <c r="G74" s="15">
        <f>B74*$B$19</f>
        <v>1240.31</v>
      </c>
      <c r="H74" s="15">
        <f>0</f>
        <v>0.0</v>
      </c>
      <c r="I74" s="15">
        <f>B74*$B$20</f>
        <v>2894.06</v>
      </c>
      <c r="J74" s="15">
        <f>SUM(D74:I74)</f>
        <v>14667.6</v>
      </c>
      <c r="K74" s="15">
        <f>C74+J74</f>
        <v>44435.1</v>
      </c>
    </row>
    <row r="75" spans="1:11" ht="18" customHeight="1">
      <c r="A75" s="14" t="s">
        <v>311</v>
      </c>
      <c r="B75" s="15">
        <f>B53*(1+$B$15)</f>
        <v>2625.0</v>
      </c>
      <c r="C75" s="15">
        <f>B75*12</f>
        <v>31500.0</v>
      </c>
      <c r="D75" s="15">
        <f>B75*$B$16</f>
        <v>5250.0</v>
      </c>
      <c r="E75" s="15">
        <f>C75*$B$17</f>
        <v>2835.0</v>
      </c>
      <c r="F75" s="15">
        <f>(C75+D75)*$B$18</f>
        <v>3061.28</v>
      </c>
      <c r="G75" s="15">
        <f>B75*$B$19</f>
        <v>1312.5</v>
      </c>
      <c r="H75" s="15">
        <f>0</f>
        <v>0.0</v>
      </c>
      <c r="I75" s="15">
        <f>B75*$B$20</f>
        <v>3062.5</v>
      </c>
      <c r="J75" s="15">
        <f>SUM(D75:I75)</f>
        <v>15521.27</v>
      </c>
      <c r="K75" s="15">
        <f>C75+J75</f>
        <v>47021.28</v>
      </c>
    </row>
    <row r="76" spans="1:11" ht="18" customHeight="1">
      <c r="A76" s="14" t="s">
        <v>313</v>
      </c>
      <c r="B76" s="15">
        <v>850</v>
      </c>
      <c r="C76" s="15">
        <f>B76*12</f>
        <v>10200.0</v>
      </c>
      <c r="D76" s="15">
        <f>B76*$B$16</f>
        <v>1700.0</v>
      </c>
      <c r="E76" s="15">
        <f>C76*$B$17</f>
        <v>918.0</v>
      </c>
      <c r="F76" s="15">
        <f>(C76+D76)*$B$18</f>
        <v>991.27</v>
      </c>
      <c r="G76" s="15">
        <f>B76*$B$19</f>
        <v>425.0</v>
      </c>
      <c r="H76" s="15">
        <f>0</f>
        <v>0.0</v>
      </c>
      <c r="I76" s="15">
        <f>B76*$B$20</f>
        <v>991.67</v>
      </c>
      <c r="J76" s="15">
        <f>SUM(D76:I76)</f>
        <v>5025.94</v>
      </c>
      <c r="K76" s="15">
        <f>C76+J76</f>
        <v>15225.94</v>
      </c>
    </row>
    <row r="77" spans="1:11" ht="18" customHeight="1">
      <c r="A77" s="8" t="s">
        <v>302</v>
      </c>
      <c r="K77" s="8">
        <f>SUM(K73:K76)</f>
        <v>165929.12</v>
      </c>
    </row>
    <row r="78" spans="1:11" ht="18" customHeight="1">
      <c r="A78" s="3" t="s">
        <v>303</v>
      </c>
    </row>
    <row r="79" spans="1:11" ht="18" customHeight="1">
      <c r="A79" s="14" t="s">
        <v>304</v>
      </c>
      <c r="B79" s="15">
        <f>B56*(1+$B$15)</f>
        <v>937.12</v>
      </c>
      <c r="C79" s="15">
        <f>B79*12</f>
        <v>11245.5</v>
      </c>
      <c r="D79" s="15">
        <f>B79*$B$16</f>
        <v>1874.25</v>
      </c>
      <c r="E79" s="15">
        <f>C79*$B$17</f>
        <v>1012.09</v>
      </c>
      <c r="F79" s="15">
        <f>(C79+D79)*$B$18</f>
        <v>1092.88</v>
      </c>
      <c r="G79" s="15">
        <f>B79*$B$19</f>
        <v>468.56</v>
      </c>
      <c r="H79" s="15">
        <f>0</f>
        <v>0.0</v>
      </c>
      <c r="I79" s="15">
        <f>B79*$B$20</f>
        <v>1093.31</v>
      </c>
      <c r="J79" s="15">
        <f>SUM(D79:I79)</f>
        <v>5541.1</v>
      </c>
      <c r="K79" s="15">
        <f>C79+J79</f>
        <v>16786.6</v>
      </c>
    </row>
    <row r="80" spans="1:11" ht="18" customHeight="1">
      <c r="A80" s="8" t="s">
        <v>305</v>
      </c>
      <c r="K80" s="8">
        <f>SUM(K79:K79)</f>
        <v>16786.6</v>
      </c>
    </row>
    <row r="82" spans="1:11" ht="18" customHeight="1">
      <c r="A82" s="16" t="s">
        <v>306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 spans="1:11" ht="18" customHeight="1">
      <c r="A83" s="16" t="s">
        <v>307</v>
      </c>
      <c r="B83" s="16"/>
      <c r="C83" s="16"/>
      <c r="D83" s="16"/>
      <c r="E83" s="16"/>
      <c r="F83" s="16"/>
      <c r="G83" s="16"/>
      <c r="H83" s="16"/>
      <c r="I83" s="16"/>
      <c r="J83" s="16"/>
      <c r="K83" s="17">
        <f>K73</f>
        <v>59246.81</v>
      </c>
    </row>
    <row r="84" spans="1:11" ht="18" customHeight="1">
      <c r="A84" s="16" t="s">
        <v>233</v>
      </c>
      <c r="B84" s="16"/>
      <c r="C84" s="16"/>
      <c r="D84" s="16"/>
      <c r="E84" s="16"/>
      <c r="F84" s="16"/>
      <c r="G84" s="16"/>
      <c r="H84" s="16"/>
      <c r="I84" s="16"/>
      <c r="J84" s="16"/>
      <c r="K84" s="17">
        <f>K74+K75+K76</f>
        <v>106682.32</v>
      </c>
    </row>
    <row r="85" spans="1:11" ht="18" customHeight="1">
      <c r="A85" s="16" t="s">
        <v>308</v>
      </c>
      <c r="B85" s="16"/>
      <c r="C85" s="16"/>
      <c r="D85" s="16"/>
      <c r="E85" s="16"/>
      <c r="F85" s="16"/>
      <c r="G85" s="16"/>
      <c r="H85" s="16"/>
      <c r="I85" s="16"/>
      <c r="J85" s="16"/>
      <c r="K85" s="18">
        <f>SUM(K83:K84)</f>
        <v>165929.12</v>
      </c>
    </row>
    <row r="86" spans="1:11" ht="30" customHeight="1">
      <c r="A86" s="19" t="s">
        <v>309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</row>
    <row r="89" spans="1:11" ht="20" customHeight="1">
      <c r="A89" s="3" t="s">
        <v>314</v>
      </c>
      <c r="B89" s="3"/>
      <c r="C89" s="3"/>
      <c r="D89" s="3"/>
      <c r="E89" s="3"/>
      <c r="F89" s="3"/>
      <c r="G89" s="3"/>
      <c r="H89" s="3"/>
      <c r="I89" s="3"/>
      <c r="J89" s="3"/>
      <c r="K89" s="3"/>
    </row>
    <row r="90" spans="1:11" ht="18" customHeight="1">
      <c r="A90" s="4" t="s">
        <v>284</v>
      </c>
      <c r="B90" s="4" t="s">
        <v>285</v>
      </c>
      <c r="C90" s="4" t="s">
        <v>286</v>
      </c>
      <c r="D90" s="4" t="s">
        <v>287</v>
      </c>
      <c r="E90" s="4" t="s">
        <v>288</v>
      </c>
      <c r="F90" s="4" t="s">
        <v>289</v>
      </c>
      <c r="G90" s="4" t="s">
        <v>290</v>
      </c>
      <c r="H90" s="4" t="s">
        <v>291</v>
      </c>
      <c r="I90" s="4" t="s">
        <v>292</v>
      </c>
      <c r="J90" s="4" t="s">
        <v>293</v>
      </c>
      <c r="K90" s="4" t="s">
        <v>294</v>
      </c>
    </row>
    <row r="91" spans="1:11" ht="18" customHeight="1">
      <c r="A91" s="3" t="s">
        <v>295</v>
      </c>
    </row>
    <row r="92" spans="1:11" ht="18" customHeight="1">
      <c r="A92" s="14" t="s">
        <v>296</v>
      </c>
      <c r="B92" s="15">
        <f>B69*(1+$B$15)</f>
        <v>4341.09</v>
      </c>
      <c r="C92" s="15">
        <f>B92*12</f>
        <v>52093.13</v>
      </c>
      <c r="D92" s="15">
        <f>B92*$B$16</f>
        <v>8682.19</v>
      </c>
      <c r="E92" s="15">
        <f>C92*$B$17</f>
        <v>4688.38</v>
      </c>
      <c r="F92" s="15">
        <f>(C92+D92)*$B$18</f>
        <v>5062.58</v>
      </c>
      <c r="G92" s="15">
        <f>B92*$B$19</f>
        <v>2170.55</v>
      </c>
      <c r="H92" s="15">
        <f>0</f>
        <v>0.0</v>
      </c>
      <c r="I92" s="15">
        <f>B92*$B$20</f>
        <v>5064.61</v>
      </c>
      <c r="J92" s="15">
        <f>SUM(D92:I92)</f>
        <v>25668.31</v>
      </c>
      <c r="K92" s="15">
        <f>C92+J92</f>
        <v>77761.43</v>
      </c>
    </row>
    <row r="93" spans="1:11" ht="18" customHeight="1">
      <c r="A93" s="14" t="s">
        <v>297</v>
      </c>
      <c r="B93" s="15">
        <f>B70*(1+$B$15)</f>
        <v>926.1</v>
      </c>
      <c r="C93" s="15">
        <f>B93*12</f>
        <v>11113.2</v>
      </c>
      <c r="D93" s="15">
        <f>B93*$B$16</f>
        <v>1852.2</v>
      </c>
      <c r="E93" s="15">
        <f>C93*$B$17</f>
        <v>1000.19</v>
      </c>
      <c r="F93" s="15">
        <f>(C93+D93)*$B$18</f>
        <v>1080.02</v>
      </c>
      <c r="G93" s="15">
        <f>B93*$B$19</f>
        <v>463.05</v>
      </c>
      <c r="H93" s="15">
        <f>0</f>
        <v>0.0</v>
      </c>
      <c r="I93" s="15">
        <f>B93*$B$20</f>
        <v>1080.45</v>
      </c>
      <c r="J93" s="15">
        <f>SUM(D93:I93)</f>
        <v>5475.91</v>
      </c>
      <c r="K93" s="15">
        <f>C93+J93</f>
        <v>16589.11</v>
      </c>
    </row>
    <row r="94" spans="1:11" ht="18" customHeight="1">
      <c r="A94" s="8" t="s">
        <v>298</v>
      </c>
      <c r="K94" s="8">
        <f>SUM(K92:K93)</f>
        <v>94350.54</v>
      </c>
    </row>
    <row r="95" spans="1:11" ht="18" customHeight="1">
      <c r="A95" s="3" t="s">
        <v>299</v>
      </c>
    </row>
    <row r="96" spans="1:11" ht="18" customHeight="1">
      <c r="A96" s="14" t="s">
        <v>300</v>
      </c>
      <c r="B96" s="15">
        <f>B73*(1+$B$15)</f>
        <v>3472.88</v>
      </c>
      <c r="C96" s="15">
        <f>B96*12</f>
        <v>41674.5</v>
      </c>
      <c r="D96" s="15">
        <f>B96*$B$16</f>
        <v>6945.75</v>
      </c>
      <c r="E96" s="15">
        <f>C96*$B$17</f>
        <v>3750.71</v>
      </c>
      <c r="F96" s="15">
        <f>(C96+D96)*$B$18</f>
        <v>4050.07</v>
      </c>
      <c r="G96" s="15">
        <f>B96*$B$19</f>
        <v>1736.44</v>
      </c>
      <c r="H96" s="15">
        <f>0</f>
        <v>0.0</v>
      </c>
      <c r="I96" s="15">
        <f>B96*$B$20</f>
        <v>4051.69</v>
      </c>
      <c r="J96" s="15">
        <f>SUM(D96:I96)</f>
        <v>20534.65</v>
      </c>
      <c r="K96" s="15">
        <f>C96+J96</f>
        <v>62209.15</v>
      </c>
    </row>
    <row r="97" spans="1:11" ht="18" customHeight="1">
      <c r="A97" s="14" t="s">
        <v>301</v>
      </c>
      <c r="B97" s="15">
        <f>B74*(1+$B$15)</f>
        <v>2604.66</v>
      </c>
      <c r="C97" s="15">
        <f>B97*12</f>
        <v>31255.88</v>
      </c>
      <c r="D97" s="15">
        <f>B97*$B$16</f>
        <v>5209.31</v>
      </c>
      <c r="E97" s="15">
        <f>C97*$B$17</f>
        <v>2813.03</v>
      </c>
      <c r="F97" s="15">
        <f>(C97+D97)*$B$18</f>
        <v>3037.55</v>
      </c>
      <c r="G97" s="15">
        <f>B97*$B$19</f>
        <v>1302.33</v>
      </c>
      <c r="H97" s="15">
        <f>0</f>
        <v>0.0</v>
      </c>
      <c r="I97" s="15">
        <f>B97*$B$20</f>
        <v>3038.77</v>
      </c>
      <c r="J97" s="15">
        <f>SUM(D97:I97)</f>
        <v>15400.99</v>
      </c>
      <c r="K97" s="15">
        <f>C97+J97</f>
        <v>46656.86</v>
      </c>
    </row>
    <row r="98" spans="1:11" ht="18" customHeight="1">
      <c r="A98" s="14" t="s">
        <v>311</v>
      </c>
      <c r="B98" s="15">
        <f>B75*(1+$B$15)</f>
        <v>2756.25</v>
      </c>
      <c r="C98" s="15">
        <f>B98*12</f>
        <v>33075.0</v>
      </c>
      <c r="D98" s="15">
        <f>B98*$B$16</f>
        <v>5512.5</v>
      </c>
      <c r="E98" s="15">
        <f>C98*$B$17</f>
        <v>2976.75</v>
      </c>
      <c r="F98" s="15">
        <f>(C98+D98)*$B$18</f>
        <v>3214.34</v>
      </c>
      <c r="G98" s="15">
        <f>B98*$B$19</f>
        <v>1378.12</v>
      </c>
      <c r="H98" s="15">
        <f>0</f>
        <v>0.0</v>
      </c>
      <c r="I98" s="15">
        <f>B98*$B$20</f>
        <v>3215.62</v>
      </c>
      <c r="J98" s="15">
        <f>SUM(D98:I98)</f>
        <v>16297.34</v>
      </c>
      <c r="K98" s="15">
        <f>C98+J98</f>
        <v>49372.34</v>
      </c>
    </row>
    <row r="99" spans="1:11" ht="18" customHeight="1">
      <c r="A99" s="14" t="s">
        <v>313</v>
      </c>
      <c r="B99" s="15">
        <f>B76*(1+$B$15)</f>
        <v>892.5</v>
      </c>
      <c r="C99" s="15">
        <f>B99*12</f>
        <v>10710.0</v>
      </c>
      <c r="D99" s="15">
        <f>B99*$B$16</f>
        <v>1785.0</v>
      </c>
      <c r="E99" s="15">
        <f>C99*$B$17</f>
        <v>963.9</v>
      </c>
      <c r="F99" s="15">
        <f>(C99+D99)*$B$18</f>
        <v>1040.83</v>
      </c>
      <c r="G99" s="15">
        <f>B99*$B$19</f>
        <v>446.25</v>
      </c>
      <c r="H99" s="15">
        <f>0</f>
        <v>0.0</v>
      </c>
      <c r="I99" s="15">
        <f>B99*$B$20</f>
        <v>1041.25</v>
      </c>
      <c r="J99" s="15">
        <f>SUM(D99:I99)</f>
        <v>5277.23</v>
      </c>
      <c r="K99" s="15">
        <f>C99+J99</f>
        <v>15987.23</v>
      </c>
    </row>
    <row r="100" spans="1:11" ht="18" customHeight="1">
      <c r="A100" s="8" t="s">
        <v>302</v>
      </c>
      <c r="K100" s="8">
        <f>SUM(K96:K99)</f>
        <v>174225.58</v>
      </c>
    </row>
    <row r="101" spans="1:11" ht="18" customHeight="1">
      <c r="A101" s="3" t="s">
        <v>303</v>
      </c>
    </row>
    <row r="102" spans="1:11" ht="18" customHeight="1">
      <c r="A102" s="14" t="s">
        <v>304</v>
      </c>
      <c r="B102" s="15">
        <f>B79*(1+$B$15)</f>
        <v>983.98</v>
      </c>
      <c r="C102" s="15">
        <f>B102*12</f>
        <v>11807.78</v>
      </c>
      <c r="D102" s="15">
        <f>B102*$B$16</f>
        <v>1967.96</v>
      </c>
      <c r="E102" s="15">
        <f>C102*$B$17</f>
        <v>1062.7</v>
      </c>
      <c r="F102" s="15">
        <f>(C102+D102)*$B$18</f>
        <v>1147.52</v>
      </c>
      <c r="G102" s="15">
        <f>B102*$B$19</f>
        <v>491.99</v>
      </c>
      <c r="H102" s="15">
        <f>0</f>
        <v>0.0</v>
      </c>
      <c r="I102" s="15">
        <f>B102*$B$20</f>
        <v>1147.98</v>
      </c>
      <c r="J102" s="15">
        <f>SUM(D102:I102)</f>
        <v>5818.15</v>
      </c>
      <c r="K102" s="15">
        <f>C102+J102</f>
        <v>17625.92</v>
      </c>
    </row>
    <row r="103" spans="1:11" ht="18" customHeight="1">
      <c r="A103" s="14" t="s">
        <v>315</v>
      </c>
      <c r="B103" s="15">
        <v>850</v>
      </c>
      <c r="C103" s="15">
        <f>B103*12</f>
        <v>10200.0</v>
      </c>
      <c r="D103" s="15">
        <f>B103*$B$16</f>
        <v>1700.0</v>
      </c>
      <c r="E103" s="15">
        <f>C103*$B$17</f>
        <v>918.0</v>
      </c>
      <c r="F103" s="15">
        <f>(C103+D103)*$B$18</f>
        <v>991.27</v>
      </c>
      <c r="G103" s="15">
        <f>B103*$B$19</f>
        <v>425.0</v>
      </c>
      <c r="H103" s="15">
        <f>0</f>
        <v>0.0</v>
      </c>
      <c r="I103" s="15">
        <f>B103*$B$20</f>
        <v>991.67</v>
      </c>
      <c r="J103" s="15">
        <f>SUM(D103:I103)</f>
        <v>5025.94</v>
      </c>
      <c r="K103" s="15">
        <f>C103+J103</f>
        <v>15225.94</v>
      </c>
    </row>
    <row r="104" spans="1:11" ht="18" customHeight="1">
      <c r="A104" s="8" t="s">
        <v>305</v>
      </c>
      <c r="K104" s="8">
        <f>SUM(K102:K103)</f>
        <v>32851.86</v>
      </c>
    </row>
    <row r="106" spans="1:11" ht="18" customHeight="1">
      <c r="A106" s="16" t="s">
        <v>306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</row>
    <row r="107" spans="1:11" ht="18" customHeight="1">
      <c r="A107" s="16" t="s">
        <v>307</v>
      </c>
      <c r="B107" s="16"/>
      <c r="C107" s="16"/>
      <c r="D107" s="16"/>
      <c r="E107" s="16"/>
      <c r="F107" s="16"/>
      <c r="G107" s="16"/>
      <c r="H107" s="16"/>
      <c r="I107" s="16"/>
      <c r="J107" s="16"/>
      <c r="K107" s="17">
        <f>K96</f>
        <v>62209.15</v>
      </c>
    </row>
    <row r="108" spans="1:11" ht="18" customHeight="1">
      <c r="A108" s="16" t="s">
        <v>233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7">
        <f>K97+K98+K99</f>
        <v>112016.43</v>
      </c>
    </row>
    <row r="109" spans="1:11" ht="18" customHeight="1">
      <c r="A109" s="16" t="s">
        <v>308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8">
        <f>SUM(K107:K108)</f>
        <v>174225.58</v>
      </c>
    </row>
    <row r="110" spans="1:11" ht="30" customHeight="1">
      <c r="A110" s="19" t="s">
        <v>309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</row>
    <row r="113" spans="1:11" ht="20" customHeight="1">
      <c r="A113" s="3" t="s">
        <v>316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pans="1:11" ht="18" customHeight="1">
      <c r="A114" s="4" t="s">
        <v>284</v>
      </c>
      <c r="B114" s="4" t="s">
        <v>285</v>
      </c>
      <c r="C114" s="4" t="s">
        <v>286</v>
      </c>
      <c r="D114" s="4" t="s">
        <v>287</v>
      </c>
      <c r="E114" s="4" t="s">
        <v>288</v>
      </c>
      <c r="F114" s="4" t="s">
        <v>289</v>
      </c>
      <c r="G114" s="4" t="s">
        <v>290</v>
      </c>
      <c r="H114" s="4" t="s">
        <v>291</v>
      </c>
      <c r="I114" s="4" t="s">
        <v>292</v>
      </c>
      <c r="J114" s="4" t="s">
        <v>293</v>
      </c>
      <c r="K114" s="4" t="s">
        <v>294</v>
      </c>
    </row>
    <row r="115" spans="1:11" ht="18" customHeight="1">
      <c r="A115" s="3" t="s">
        <v>295</v>
      </c>
    </row>
    <row r="116" spans="1:11" ht="18" customHeight="1">
      <c r="A116" s="14" t="s">
        <v>296</v>
      </c>
      <c r="B116" s="15">
        <f>B92*(1+$B$15)</f>
        <v>4558.15</v>
      </c>
      <c r="C116" s="15">
        <f>B116*12</f>
        <v>54697.78</v>
      </c>
      <c r="D116" s="15">
        <f>B116*$B$16</f>
        <v>9116.3</v>
      </c>
      <c r="E116" s="15">
        <f>C116*$B$17</f>
        <v>4922.8</v>
      </c>
      <c r="F116" s="15">
        <f>(C116+D116)*$B$18</f>
        <v>5315.71</v>
      </c>
      <c r="G116" s="15">
        <f>B116*$B$19</f>
        <v>2279.07</v>
      </c>
      <c r="H116" s="15">
        <f>0</f>
        <v>0.0</v>
      </c>
      <c r="I116" s="15">
        <f>B116*$B$20</f>
        <v>5317.84</v>
      </c>
      <c r="J116" s="15">
        <f>SUM(D116:I116)</f>
        <v>26951.72</v>
      </c>
      <c r="K116" s="15">
        <f>C116+J116</f>
        <v>81649.51</v>
      </c>
    </row>
    <row r="117" spans="1:11" ht="18" customHeight="1">
      <c r="A117" s="14" t="s">
        <v>297</v>
      </c>
      <c r="B117" s="15">
        <f>B93*(1+$B$15)</f>
        <v>972.41</v>
      </c>
      <c r="C117" s="15">
        <f>B117*12</f>
        <v>11668.86</v>
      </c>
      <c r="D117" s="15">
        <f>B117*$B$16</f>
        <v>1944.81</v>
      </c>
      <c r="E117" s="15">
        <f>C117*$B$17</f>
        <v>1050.2</v>
      </c>
      <c r="F117" s="15">
        <f>(C117+D117)*$B$18</f>
        <v>1134.02</v>
      </c>
      <c r="G117" s="15">
        <f>B117*$B$19</f>
        <v>486.2</v>
      </c>
      <c r="H117" s="15">
        <f>0</f>
        <v>0.0</v>
      </c>
      <c r="I117" s="15">
        <f>B117*$B$20</f>
        <v>1134.47</v>
      </c>
      <c r="J117" s="15">
        <f>SUM(D117:I117)</f>
        <v>5749.7</v>
      </c>
      <c r="K117" s="15">
        <f>C117+J117</f>
        <v>17418.56</v>
      </c>
    </row>
    <row r="118" spans="1:11" ht="18" customHeight="1">
      <c r="A118" s="14" t="s">
        <v>317</v>
      </c>
      <c r="B118" s="15">
        <v>850</v>
      </c>
      <c r="C118" s="15">
        <f>B118*12</f>
        <v>10200.0</v>
      </c>
      <c r="D118" s="15">
        <f>B118*$B$16</f>
        <v>1700.0</v>
      </c>
      <c r="E118" s="15">
        <f>C118*$B$17</f>
        <v>918.0</v>
      </c>
      <c r="F118" s="15">
        <f>(C118+D118)*$B$18</f>
        <v>991.27</v>
      </c>
      <c r="G118" s="15">
        <f>B118*$B$19</f>
        <v>425.0</v>
      </c>
      <c r="H118" s="15">
        <f>0</f>
        <v>0.0</v>
      </c>
      <c r="I118" s="15">
        <f>B118*$B$20</f>
        <v>991.67</v>
      </c>
      <c r="J118" s="15">
        <f>SUM(D118:I118)</f>
        <v>5025.94</v>
      </c>
      <c r="K118" s="15">
        <f>C118+J118</f>
        <v>15225.94</v>
      </c>
    </row>
    <row r="119" spans="1:11" ht="18" customHeight="1">
      <c r="A119" s="8" t="s">
        <v>298</v>
      </c>
      <c r="K119" s="8">
        <f>SUM(K116:K118)</f>
        <v>114294.0</v>
      </c>
    </row>
    <row r="120" spans="1:11" ht="18" customHeight="1">
      <c r="A120" s="3" t="s">
        <v>299</v>
      </c>
    </row>
    <row r="121" spans="1:11" ht="18" customHeight="1">
      <c r="A121" s="14" t="s">
        <v>300</v>
      </c>
      <c r="B121" s="15">
        <f>B96*(1+$B$15)</f>
        <v>3646.52</v>
      </c>
      <c r="C121" s="15">
        <f>B121*12</f>
        <v>43758.23</v>
      </c>
      <c r="D121" s="15">
        <f>B121*$B$16</f>
        <v>7293.04</v>
      </c>
      <c r="E121" s="15">
        <f>C121*$B$17</f>
        <v>3938.24</v>
      </c>
      <c r="F121" s="15">
        <f>(C121+D121)*$B$18</f>
        <v>4252.57</v>
      </c>
      <c r="G121" s="15">
        <f>B121*$B$19</f>
        <v>1823.26</v>
      </c>
      <c r="H121" s="15">
        <f>0</f>
        <v>0.0</v>
      </c>
      <c r="I121" s="15">
        <f>B121*$B$20</f>
        <v>4254.27</v>
      </c>
      <c r="J121" s="15">
        <f>SUM(D121:I121)</f>
        <v>21561.38</v>
      </c>
      <c r="K121" s="15">
        <f>C121+J121</f>
        <v>65319.6</v>
      </c>
    </row>
    <row r="122" spans="1:11" ht="18" customHeight="1">
      <c r="A122" s="14" t="s">
        <v>301</v>
      </c>
      <c r="B122" s="15">
        <f>B97*(1+$B$15)</f>
        <v>2734.89</v>
      </c>
      <c r="C122" s="15">
        <f>B122*12</f>
        <v>32818.67</v>
      </c>
      <c r="D122" s="15">
        <f>B122*$B$16</f>
        <v>5469.78</v>
      </c>
      <c r="E122" s="15">
        <f>C122*$B$17</f>
        <v>2953.68</v>
      </c>
      <c r="F122" s="15">
        <f>(C122+D122)*$B$18</f>
        <v>3189.43</v>
      </c>
      <c r="G122" s="15">
        <f>B122*$B$19</f>
        <v>1367.44</v>
      </c>
      <c r="H122" s="15">
        <f>0</f>
        <v>0.0</v>
      </c>
      <c r="I122" s="15">
        <f>B122*$B$20</f>
        <v>3190.7</v>
      </c>
      <c r="J122" s="15">
        <f>SUM(D122:I122)</f>
        <v>16171.03</v>
      </c>
      <c r="K122" s="15">
        <f>C122+J122</f>
        <v>48989.7</v>
      </c>
    </row>
    <row r="123" spans="1:11" ht="18" customHeight="1">
      <c r="A123" s="14" t="s">
        <v>311</v>
      </c>
      <c r="B123" s="15">
        <f>B98*(1+$B$15)</f>
        <v>2894.06</v>
      </c>
      <c r="C123" s="15">
        <f>B123*12</f>
        <v>34728.75</v>
      </c>
      <c r="D123" s="15">
        <f>B123*$B$16</f>
        <v>5788.13</v>
      </c>
      <c r="E123" s="15">
        <f>C123*$B$17</f>
        <v>3125.59</v>
      </c>
      <c r="F123" s="15">
        <f>(C123+D123)*$B$18</f>
        <v>3375.06</v>
      </c>
      <c r="G123" s="15">
        <f>B123*$B$19</f>
        <v>1447.03</v>
      </c>
      <c r="H123" s="15">
        <f>0</f>
        <v>0.0</v>
      </c>
      <c r="I123" s="15">
        <f>B123*$B$20</f>
        <v>3376.41</v>
      </c>
      <c r="J123" s="15">
        <f>SUM(D123:I123)</f>
        <v>17112.21</v>
      </c>
      <c r="K123" s="15">
        <f>C123+J123</f>
        <v>51840.96</v>
      </c>
    </row>
    <row r="124" spans="1:11" ht="18" customHeight="1">
      <c r="A124" s="14" t="s">
        <v>313</v>
      </c>
      <c r="B124" s="15">
        <f>B99*(1+$B$15)</f>
        <v>937.12</v>
      </c>
      <c r="C124" s="15">
        <f>B124*12</f>
        <v>11245.5</v>
      </c>
      <c r="D124" s="15">
        <f>B124*$B$16</f>
        <v>1874.25</v>
      </c>
      <c r="E124" s="15">
        <f>C124*$B$17</f>
        <v>1012.09</v>
      </c>
      <c r="F124" s="15">
        <f>(C124+D124)*$B$18</f>
        <v>1092.88</v>
      </c>
      <c r="G124" s="15">
        <f>B124*$B$19</f>
        <v>468.56</v>
      </c>
      <c r="H124" s="15">
        <f>0</f>
        <v>0.0</v>
      </c>
      <c r="I124" s="15">
        <f>B124*$B$20</f>
        <v>1093.31</v>
      </c>
      <c r="J124" s="15">
        <f>SUM(D124:I124)</f>
        <v>5541.1</v>
      </c>
      <c r="K124" s="15">
        <f>C124+J124</f>
        <v>16786.6</v>
      </c>
    </row>
    <row r="125" spans="1:11" ht="18" customHeight="1">
      <c r="A125" s="8" t="s">
        <v>302</v>
      </c>
      <c r="K125" s="8">
        <f>SUM(K121:K124)</f>
        <v>182936.86</v>
      </c>
    </row>
    <row r="126" spans="1:11" ht="18" customHeight="1">
      <c r="A126" s="3" t="s">
        <v>303</v>
      </c>
    </row>
    <row r="127" spans="1:11" ht="18" customHeight="1">
      <c r="A127" s="14" t="s">
        <v>304</v>
      </c>
      <c r="B127" s="15">
        <f>B102*(1+$B$15)</f>
        <v>1033.18</v>
      </c>
      <c r="C127" s="15">
        <f>B127*12</f>
        <v>12398.16</v>
      </c>
      <c r="D127" s="15">
        <f>B127*$B$16</f>
        <v>2066.36</v>
      </c>
      <c r="E127" s="15">
        <f>C127*$B$17</f>
        <v>1115.83</v>
      </c>
      <c r="F127" s="15">
        <f>(C127+D127)*$B$18</f>
        <v>1204.89</v>
      </c>
      <c r="G127" s="15">
        <f>B127*$B$19</f>
        <v>516.59</v>
      </c>
      <c r="H127" s="15">
        <f>0</f>
        <v>0.0</v>
      </c>
      <c r="I127" s="15">
        <f>B127*$B$20</f>
        <v>1205.38</v>
      </c>
      <c r="J127" s="15">
        <f>SUM(D127:I127)</f>
        <v>6109.06</v>
      </c>
      <c r="K127" s="15">
        <f>C127+J127</f>
        <v>18507.22</v>
      </c>
    </row>
    <row r="128" spans="1:11" ht="18" customHeight="1">
      <c r="A128" s="14" t="s">
        <v>315</v>
      </c>
      <c r="B128" s="15">
        <f>B103*(1+$B$15)</f>
        <v>892.5</v>
      </c>
      <c r="C128" s="15">
        <f>B128*12</f>
        <v>10710.0</v>
      </c>
      <c r="D128" s="15">
        <f>B128*$B$16</f>
        <v>1785.0</v>
      </c>
      <c r="E128" s="15">
        <f>C128*$B$17</f>
        <v>963.9</v>
      </c>
      <c r="F128" s="15">
        <f>(C128+D128)*$B$18</f>
        <v>1040.83</v>
      </c>
      <c r="G128" s="15">
        <f>B128*$B$19</f>
        <v>446.25</v>
      </c>
      <c r="H128" s="15">
        <f>0</f>
        <v>0.0</v>
      </c>
      <c r="I128" s="15">
        <f>B128*$B$20</f>
        <v>1041.25</v>
      </c>
      <c r="J128" s="15">
        <f>SUM(D128:I128)</f>
        <v>5277.23</v>
      </c>
      <c r="K128" s="15">
        <f>C128+J128</f>
        <v>15987.23</v>
      </c>
    </row>
    <row r="129" spans="1:11" ht="18" customHeight="1">
      <c r="A129" s="8" t="s">
        <v>305</v>
      </c>
      <c r="K129" s="8">
        <f>SUM(K127:K128)</f>
        <v>34494.45</v>
      </c>
    </row>
    <row r="131" spans="1:11" ht="18" customHeight="1">
      <c r="A131" s="16" t="s">
        <v>306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</row>
    <row r="132" spans="1:11" ht="18" customHeight="1">
      <c r="A132" s="16" t="s">
        <v>307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7">
        <f>K121</f>
        <v>65319.6</v>
      </c>
    </row>
    <row r="133" spans="1:11" ht="18" customHeight="1">
      <c r="A133" s="16" t="s">
        <v>233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7">
        <f>K122+K123+K124</f>
        <v>117617.25</v>
      </c>
    </row>
    <row r="134" spans="1:11" ht="18" customHeight="1">
      <c r="A134" s="16" t="s">
        <v>308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8">
        <f>SUM(K132:K133)</f>
        <v>182936.86</v>
      </c>
    </row>
    <row r="135" spans="1:11" ht="30" customHeight="1">
      <c r="A135" s="19" t="s">
        <v>309</v>
      </c>
      <c r="B135" s="19"/>
      <c r="C135" s="19"/>
      <c r="D135" s="19"/>
      <c r="E135" s="19"/>
      <c r="F135" s="19"/>
      <c r="G135" s="19"/>
      <c r="H135" s="19"/>
      <c r="I135" s="19"/>
      <c r="J135" s="19"/>
      <c r="K135" s="19"/>
    </row>
    <row r="138" spans="1:11" ht="20" customHeight="1">
      <c r="A138" s="3" t="s">
        <v>318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spans="1:11" ht="18" customHeight="1">
      <c r="A139" s="4" t="s">
        <v>284</v>
      </c>
      <c r="B139" s="4" t="s">
        <v>285</v>
      </c>
      <c r="C139" s="4" t="s">
        <v>286</v>
      </c>
      <c r="D139" s="4" t="s">
        <v>287</v>
      </c>
      <c r="E139" s="4" t="s">
        <v>288</v>
      </c>
      <c r="F139" s="4" t="s">
        <v>289</v>
      </c>
      <c r="G139" s="4" t="s">
        <v>290</v>
      </c>
      <c r="H139" s="4" t="s">
        <v>291</v>
      </c>
      <c r="I139" s="4" t="s">
        <v>292</v>
      </c>
      <c r="J139" s="4" t="s">
        <v>293</v>
      </c>
      <c r="K139" s="4" t="s">
        <v>294</v>
      </c>
    </row>
    <row r="140" spans="1:11" ht="18" customHeight="1">
      <c r="A140" s="3" t="s">
        <v>295</v>
      </c>
    </row>
    <row r="141" spans="1:11" ht="18" customHeight="1">
      <c r="A141" s="14" t="s">
        <v>296</v>
      </c>
      <c r="B141" s="15">
        <f>B116*(1+$B$15)</f>
        <v>4786.06</v>
      </c>
      <c r="C141" s="15">
        <f>B141*12</f>
        <v>57432.67</v>
      </c>
      <c r="D141" s="15">
        <f>B141*$B$16</f>
        <v>9572.11</v>
      </c>
      <c r="E141" s="15">
        <f>C141*$B$17</f>
        <v>5168.94</v>
      </c>
      <c r="F141" s="15">
        <f>(C141+D141)*$B$18</f>
        <v>5581.5</v>
      </c>
      <c r="G141" s="15">
        <f>B141*$B$19</f>
        <v>2393.03</v>
      </c>
      <c r="H141" s="15">
        <f>0</f>
        <v>0.0</v>
      </c>
      <c r="I141" s="15">
        <f>B141*$B$20</f>
        <v>5583.73</v>
      </c>
      <c r="J141" s="15">
        <f>SUM(D141:I141)</f>
        <v>28299.31</v>
      </c>
      <c r="K141" s="15">
        <f>C141+J141</f>
        <v>85731.98</v>
      </c>
    </row>
    <row r="142" spans="1:11" ht="18" customHeight="1">
      <c r="A142" s="14" t="s">
        <v>297</v>
      </c>
      <c r="B142" s="15">
        <f>B117*(1+$B$15)</f>
        <v>1021.03</v>
      </c>
      <c r="C142" s="15">
        <f>B142*12</f>
        <v>12252.3</v>
      </c>
      <c r="D142" s="15">
        <f>B142*$B$16</f>
        <v>2042.05</v>
      </c>
      <c r="E142" s="15">
        <f>C142*$B$17</f>
        <v>1102.71</v>
      </c>
      <c r="F142" s="15">
        <f>(C142+D142)*$B$18</f>
        <v>1190.72</v>
      </c>
      <c r="G142" s="15">
        <f>B142*$B$19</f>
        <v>510.51</v>
      </c>
      <c r="H142" s="15">
        <f>0</f>
        <v>0.0</v>
      </c>
      <c r="I142" s="15">
        <f>B142*$B$20</f>
        <v>1191.2</v>
      </c>
      <c r="J142" s="15">
        <f>SUM(D142:I142)</f>
        <v>6037.19</v>
      </c>
      <c r="K142" s="15">
        <f>C142+J142</f>
        <v>18289.49</v>
      </c>
    </row>
    <row r="143" spans="1:11" ht="18" customHeight="1">
      <c r="A143" s="14" t="s">
        <v>317</v>
      </c>
      <c r="B143" s="15">
        <f>B118*(1+$B$15)</f>
        <v>892.5</v>
      </c>
      <c r="C143" s="15">
        <f>B143*12</f>
        <v>10710.0</v>
      </c>
      <c r="D143" s="15">
        <f>B143*$B$16</f>
        <v>1785.0</v>
      </c>
      <c r="E143" s="15">
        <f>C143*$B$17</f>
        <v>963.9</v>
      </c>
      <c r="F143" s="15">
        <f>(C143+D143)*$B$18</f>
        <v>1040.83</v>
      </c>
      <c r="G143" s="15">
        <f>B143*$B$19</f>
        <v>446.25</v>
      </c>
      <c r="H143" s="15">
        <f>0</f>
        <v>0.0</v>
      </c>
      <c r="I143" s="15">
        <f>B143*$B$20</f>
        <v>1041.25</v>
      </c>
      <c r="J143" s="15">
        <f>SUM(D143:I143)</f>
        <v>5277.23</v>
      </c>
      <c r="K143" s="15">
        <f>C143+J143</f>
        <v>15987.23</v>
      </c>
    </row>
    <row r="144" spans="1:11" ht="18" customHeight="1">
      <c r="A144" s="8" t="s">
        <v>298</v>
      </c>
      <c r="K144" s="8">
        <f>SUM(K141:K143)</f>
        <v>120008.7</v>
      </c>
    </row>
    <row r="145" spans="1:11" ht="18" customHeight="1">
      <c r="A145" s="3" t="s">
        <v>299</v>
      </c>
    </row>
    <row r="146" spans="1:11" ht="18" customHeight="1">
      <c r="A146" s="14" t="s">
        <v>300</v>
      </c>
      <c r="B146" s="15">
        <f>B121*(1+$B$15)</f>
        <v>3828.84</v>
      </c>
      <c r="C146" s="15">
        <f>B146*12</f>
        <v>45946.14</v>
      </c>
      <c r="D146" s="15">
        <f>B146*$B$16</f>
        <v>7657.69</v>
      </c>
      <c r="E146" s="15">
        <f>C146*$B$17</f>
        <v>4135.15</v>
      </c>
      <c r="F146" s="15">
        <f>(C146+D146)*$B$18</f>
        <v>4465.2</v>
      </c>
      <c r="G146" s="15">
        <f>B146*$B$19</f>
        <v>1914.42</v>
      </c>
      <c r="H146" s="15">
        <f>0</f>
        <v>0.0</v>
      </c>
      <c r="I146" s="15">
        <f>B146*$B$20</f>
        <v>4466.99</v>
      </c>
      <c r="J146" s="15">
        <f>SUM(D146:I146)</f>
        <v>22639.45</v>
      </c>
      <c r="K146" s="15">
        <f>C146+J146</f>
        <v>68585.58</v>
      </c>
    </row>
    <row r="147" spans="1:11" ht="18" customHeight="1">
      <c r="A147" s="14" t="s">
        <v>301</v>
      </c>
      <c r="B147" s="15">
        <f>B122*(1+$B$15)</f>
        <v>2871.63</v>
      </c>
      <c r="C147" s="15">
        <f>B147*12</f>
        <v>34459.6</v>
      </c>
      <c r="D147" s="15">
        <f>B147*$B$16</f>
        <v>5743.27</v>
      </c>
      <c r="E147" s="15">
        <f>C147*$B$17</f>
        <v>3101.36</v>
      </c>
      <c r="F147" s="15">
        <f>(C147+D147)*$B$18</f>
        <v>3348.9</v>
      </c>
      <c r="G147" s="15">
        <f>B147*$B$19</f>
        <v>1435.82</v>
      </c>
      <c r="H147" s="15">
        <f>0</f>
        <v>0.0</v>
      </c>
      <c r="I147" s="15">
        <f>B147*$B$20</f>
        <v>3350.24</v>
      </c>
      <c r="J147" s="15">
        <f>SUM(D147:I147)</f>
        <v>16979.59</v>
      </c>
      <c r="K147" s="15">
        <f>C147+J147</f>
        <v>51439.19</v>
      </c>
    </row>
    <row r="148" spans="1:11" ht="18" customHeight="1">
      <c r="A148" s="14" t="s">
        <v>311</v>
      </c>
      <c r="B148" s="15">
        <f>B123*(1+$B$15)</f>
        <v>3038.77</v>
      </c>
      <c r="C148" s="15">
        <f>B148*12</f>
        <v>36465.19</v>
      </c>
      <c r="D148" s="15">
        <f>B148*$B$16</f>
        <v>6077.53</v>
      </c>
      <c r="E148" s="15">
        <f>C148*$B$17</f>
        <v>3281.87</v>
      </c>
      <c r="F148" s="15">
        <f>(C148+D148)*$B$18</f>
        <v>3543.81</v>
      </c>
      <c r="G148" s="15">
        <f>B148*$B$19</f>
        <v>1519.38</v>
      </c>
      <c r="H148" s="15">
        <f>0</f>
        <v>0.0</v>
      </c>
      <c r="I148" s="15">
        <f>B148*$B$20</f>
        <v>3545.23</v>
      </c>
      <c r="J148" s="15">
        <f>SUM(D148:I148)</f>
        <v>17967.82</v>
      </c>
      <c r="K148" s="15">
        <f>C148+J148</f>
        <v>54433.0</v>
      </c>
    </row>
    <row r="149" spans="1:11" ht="18" customHeight="1">
      <c r="A149" s="14" t="s">
        <v>313</v>
      </c>
      <c r="B149" s="15">
        <f>B124*(1+$B$15)</f>
        <v>983.98</v>
      </c>
      <c r="C149" s="15">
        <f>B149*12</f>
        <v>11807.78</v>
      </c>
      <c r="D149" s="15">
        <f>B149*$B$16</f>
        <v>1967.96</v>
      </c>
      <c r="E149" s="15">
        <f>C149*$B$17</f>
        <v>1062.7</v>
      </c>
      <c r="F149" s="15">
        <f>(C149+D149)*$B$18</f>
        <v>1147.52</v>
      </c>
      <c r="G149" s="15">
        <f>B149*$B$19</f>
        <v>491.99</v>
      </c>
      <c r="H149" s="15">
        <f>0</f>
        <v>0.0</v>
      </c>
      <c r="I149" s="15">
        <f>B149*$B$20</f>
        <v>1147.98</v>
      </c>
      <c r="J149" s="15">
        <f>SUM(D149:I149)</f>
        <v>5818.15</v>
      </c>
      <c r="K149" s="15">
        <f>C149+J149</f>
        <v>17625.92</v>
      </c>
    </row>
    <row r="150" spans="1:11" ht="18" customHeight="1">
      <c r="A150" s="14" t="s">
        <v>319</v>
      </c>
      <c r="B150" s="15">
        <v>850</v>
      </c>
      <c r="C150" s="15">
        <f>B150*12</f>
        <v>10200.0</v>
      </c>
      <c r="D150" s="15">
        <f>B150*$B$16</f>
        <v>1700.0</v>
      </c>
      <c r="E150" s="15">
        <f>C150*$B$17</f>
        <v>918.0</v>
      </c>
      <c r="F150" s="15">
        <f>(C150+D150)*$B$18</f>
        <v>991.27</v>
      </c>
      <c r="G150" s="15">
        <f>B150*$B$19</f>
        <v>425.0</v>
      </c>
      <c r="H150" s="15">
        <f>0</f>
        <v>0.0</v>
      </c>
      <c r="I150" s="15">
        <f>B150*$B$20</f>
        <v>991.67</v>
      </c>
      <c r="J150" s="15">
        <f>SUM(D150:I150)</f>
        <v>5025.94</v>
      </c>
      <c r="K150" s="15">
        <f>C150+J150</f>
        <v>15225.94</v>
      </c>
    </row>
    <row r="151" spans="1:11" ht="18" customHeight="1">
      <c r="A151" s="8" t="s">
        <v>302</v>
      </c>
      <c r="K151" s="8">
        <f>SUM(K146:K150)</f>
        <v>207309.64</v>
      </c>
    </row>
    <row r="152" spans="1:11" ht="18" customHeight="1">
      <c r="A152" s="3" t="s">
        <v>303</v>
      </c>
    </row>
    <row r="153" spans="1:11" ht="18" customHeight="1">
      <c r="A153" s="14" t="s">
        <v>304</v>
      </c>
      <c r="B153" s="15">
        <f>B127*(1+$B$15)</f>
        <v>1084.84</v>
      </c>
      <c r="C153" s="15">
        <f>B153*12</f>
        <v>13018.07</v>
      </c>
      <c r="D153" s="15">
        <f>B153*$B$16</f>
        <v>2169.68</v>
      </c>
      <c r="E153" s="15">
        <f>C153*$B$17</f>
        <v>1171.63</v>
      </c>
      <c r="F153" s="15">
        <f>(C153+D153)*$B$18</f>
        <v>1265.14</v>
      </c>
      <c r="G153" s="15">
        <f>B153*$B$19</f>
        <v>542.42</v>
      </c>
      <c r="H153" s="15">
        <f>0</f>
        <v>0.0</v>
      </c>
      <c r="I153" s="15">
        <f>B153*$B$20</f>
        <v>1265.65</v>
      </c>
      <c r="J153" s="15">
        <f>SUM(D153:I153)</f>
        <v>6414.51</v>
      </c>
      <c r="K153" s="15">
        <f>C153+J153</f>
        <v>19432.58</v>
      </c>
    </row>
    <row r="154" spans="1:11" ht="18" customHeight="1">
      <c r="A154" s="14" t="s">
        <v>315</v>
      </c>
      <c r="B154" s="15">
        <f>B128*(1+$B$15)</f>
        <v>937.12</v>
      </c>
      <c r="C154" s="15">
        <f>B154*12</f>
        <v>11245.5</v>
      </c>
      <c r="D154" s="15">
        <f>B154*$B$16</f>
        <v>1874.25</v>
      </c>
      <c r="E154" s="15">
        <f>C154*$B$17</f>
        <v>1012.09</v>
      </c>
      <c r="F154" s="15">
        <f>(C154+D154)*$B$18</f>
        <v>1092.88</v>
      </c>
      <c r="G154" s="15">
        <f>B154*$B$19</f>
        <v>468.56</v>
      </c>
      <c r="H154" s="15">
        <f>0</f>
        <v>0.0</v>
      </c>
      <c r="I154" s="15">
        <f>B154*$B$20</f>
        <v>1093.31</v>
      </c>
      <c r="J154" s="15">
        <f>SUM(D154:I154)</f>
        <v>5541.1</v>
      </c>
      <c r="K154" s="15">
        <f>C154+J154</f>
        <v>16786.6</v>
      </c>
    </row>
    <row r="155" spans="1:11" ht="18" customHeight="1">
      <c r="A155" s="8" t="s">
        <v>305</v>
      </c>
      <c r="K155" s="8">
        <f>SUM(K153:K154)</f>
        <v>36219.18</v>
      </c>
    </row>
    <row r="157" spans="1:11" ht="18" customHeight="1">
      <c r="A157" s="16" t="s">
        <v>306</v>
      </c>
      <c r="B157" s="16"/>
      <c r="C157" s="16"/>
      <c r="D157" s="16"/>
      <c r="E157" s="16"/>
      <c r="F157" s="16"/>
      <c r="G157" s="16"/>
      <c r="H157" s="16"/>
      <c r="I157" s="16"/>
      <c r="J157" s="16"/>
      <c r="K157" s="16"/>
    </row>
    <row r="158" spans="1:11" ht="18" customHeight="1">
      <c r="A158" s="16" t="s">
        <v>307</v>
      </c>
      <c r="B158" s="16"/>
      <c r="C158" s="16"/>
      <c r="D158" s="16"/>
      <c r="E158" s="16"/>
      <c r="F158" s="16"/>
      <c r="G158" s="16"/>
      <c r="H158" s="16"/>
      <c r="I158" s="16"/>
      <c r="J158" s="16"/>
      <c r="K158" s="17">
        <f>K146</f>
        <v>68585.58</v>
      </c>
    </row>
    <row r="159" spans="1:11" ht="18" customHeight="1">
      <c r="A159" s="16" t="s">
        <v>233</v>
      </c>
      <c r="B159" s="16"/>
      <c r="C159" s="16"/>
      <c r="D159" s="16"/>
      <c r="E159" s="16"/>
      <c r="F159" s="16"/>
      <c r="G159" s="16"/>
      <c r="H159" s="16"/>
      <c r="I159" s="16"/>
      <c r="J159" s="16"/>
      <c r="K159" s="17">
        <f>K147+K148+K149+K150</f>
        <v>138724.05</v>
      </c>
    </row>
    <row r="160" spans="1:11" ht="18" customHeight="1">
      <c r="A160" s="16" t="s">
        <v>308</v>
      </c>
      <c r="B160" s="16"/>
      <c r="C160" s="16"/>
      <c r="D160" s="16"/>
      <c r="E160" s="16"/>
      <c r="F160" s="16"/>
      <c r="G160" s="16"/>
      <c r="H160" s="16"/>
      <c r="I160" s="16"/>
      <c r="J160" s="16"/>
      <c r="K160" s="18">
        <f>SUM(K158:K159)</f>
        <v>207309.64</v>
      </c>
    </row>
    <row r="161" spans="1:11" ht="30" customHeight="1">
      <c r="A161" s="19" t="s">
        <v>309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</row>
    <row r="164" spans="1:11" ht="20" customHeight="1">
      <c r="A164" s="3" t="s">
        <v>320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spans="1:11" ht="18" customHeight="1">
      <c r="A165" s="4" t="s">
        <v>284</v>
      </c>
      <c r="B165" s="4" t="s">
        <v>285</v>
      </c>
      <c r="C165" s="4" t="s">
        <v>286</v>
      </c>
      <c r="D165" s="4" t="s">
        <v>287</v>
      </c>
      <c r="E165" s="4" t="s">
        <v>288</v>
      </c>
      <c r="F165" s="4" t="s">
        <v>289</v>
      </c>
      <c r="G165" s="4" t="s">
        <v>290</v>
      </c>
      <c r="H165" s="4" t="s">
        <v>291</v>
      </c>
      <c r="I165" s="4" t="s">
        <v>292</v>
      </c>
      <c r="J165" s="4" t="s">
        <v>293</v>
      </c>
      <c r="K165" s="4" t="s">
        <v>294</v>
      </c>
    </row>
    <row r="166" spans="1:11" ht="18" customHeight="1">
      <c r="A166" s="3" t="s">
        <v>295</v>
      </c>
    </row>
    <row r="167" spans="1:11" ht="18" customHeight="1">
      <c r="A167" s="14" t="s">
        <v>296</v>
      </c>
      <c r="B167" s="15">
        <f>B141*(1+$B$15)</f>
        <v>5025.36</v>
      </c>
      <c r="C167" s="15">
        <f>B167*12</f>
        <v>60304.3</v>
      </c>
      <c r="D167" s="15">
        <f>B167*$B$16</f>
        <v>10050.72</v>
      </c>
      <c r="E167" s="15">
        <f>C167*$B$17</f>
        <v>5427.39</v>
      </c>
      <c r="F167" s="15">
        <f>(C167+D167)*$B$18</f>
        <v>5860.57</v>
      </c>
      <c r="G167" s="15">
        <f>B167*$B$19</f>
        <v>2512.68</v>
      </c>
      <c r="H167" s="15">
        <f>0</f>
        <v>0.0</v>
      </c>
      <c r="I167" s="15">
        <f>B167*$B$20</f>
        <v>5862.92</v>
      </c>
      <c r="J167" s="15">
        <f>SUM(D167:I167)</f>
        <v>29714.28</v>
      </c>
      <c r="K167" s="15">
        <f>C167+J167</f>
        <v>90018.58</v>
      </c>
    </row>
    <row r="168" spans="1:11" ht="18" customHeight="1">
      <c r="A168" s="14" t="s">
        <v>297</v>
      </c>
      <c r="B168" s="15">
        <f>B142*(1+$B$15)</f>
        <v>1072.08</v>
      </c>
      <c r="C168" s="15">
        <f>B168*12</f>
        <v>12864.92</v>
      </c>
      <c r="D168" s="15">
        <f>B168*$B$16</f>
        <v>2144.15</v>
      </c>
      <c r="E168" s="15">
        <f>C168*$B$17</f>
        <v>1157.84</v>
      </c>
      <c r="F168" s="15">
        <f>(C168+D168)*$B$18</f>
        <v>1250.26</v>
      </c>
      <c r="G168" s="15">
        <f>B168*$B$19</f>
        <v>536.04</v>
      </c>
      <c r="H168" s="15">
        <f>0</f>
        <v>0.0</v>
      </c>
      <c r="I168" s="15">
        <f>B168*$B$20</f>
        <v>1250.76</v>
      </c>
      <c r="J168" s="15">
        <f>SUM(D168:I168)</f>
        <v>6339.05</v>
      </c>
      <c r="K168" s="15">
        <f>C168+J168</f>
        <v>19203.96</v>
      </c>
    </row>
    <row r="169" spans="1:11" ht="18" customHeight="1">
      <c r="A169" s="14" t="s">
        <v>317</v>
      </c>
      <c r="B169" s="15">
        <f>B143*(1+$B$15)</f>
        <v>937.12</v>
      </c>
      <c r="C169" s="15">
        <f>B169*12</f>
        <v>11245.5</v>
      </c>
      <c r="D169" s="15">
        <f>B169*$B$16</f>
        <v>1874.25</v>
      </c>
      <c r="E169" s="15">
        <f>C169*$B$17</f>
        <v>1012.09</v>
      </c>
      <c r="F169" s="15">
        <f>(C169+D169)*$B$18</f>
        <v>1092.88</v>
      </c>
      <c r="G169" s="15">
        <f>B169*$B$19</f>
        <v>468.56</v>
      </c>
      <c r="H169" s="15">
        <f>0</f>
        <v>0.0</v>
      </c>
      <c r="I169" s="15">
        <f>B169*$B$20</f>
        <v>1093.31</v>
      </c>
      <c r="J169" s="15">
        <f>SUM(D169:I169)</f>
        <v>5541.1</v>
      </c>
      <c r="K169" s="15">
        <f>C169+J169</f>
        <v>16786.6</v>
      </c>
    </row>
    <row r="170" spans="1:11" ht="18" customHeight="1">
      <c r="A170" s="8" t="s">
        <v>298</v>
      </c>
      <c r="K170" s="8">
        <f>SUM(K167:K169)</f>
        <v>126009.14</v>
      </c>
    </row>
    <row r="171" spans="1:11" ht="18" customHeight="1">
      <c r="A171" s="3" t="s">
        <v>299</v>
      </c>
    </row>
    <row r="172" spans="1:11" ht="18" customHeight="1">
      <c r="A172" s="14" t="s">
        <v>300</v>
      </c>
      <c r="B172" s="15">
        <f>B146*(1+$B$15)</f>
        <v>4020.29</v>
      </c>
      <c r="C172" s="15">
        <f>B172*12</f>
        <v>48243.44</v>
      </c>
      <c r="D172" s="15">
        <f>B172*$B$16</f>
        <v>8040.57</v>
      </c>
      <c r="E172" s="15">
        <f>C172*$B$17</f>
        <v>4341.91</v>
      </c>
      <c r="F172" s="15">
        <f>(C172+D172)*$B$18</f>
        <v>4688.46</v>
      </c>
      <c r="G172" s="15">
        <f>B172*$B$19</f>
        <v>2010.14</v>
      </c>
      <c r="H172" s="15">
        <f>0</f>
        <v>0.0</v>
      </c>
      <c r="I172" s="15">
        <f>B172*$B$20</f>
        <v>4690.33</v>
      </c>
      <c r="J172" s="15">
        <f>SUM(D172:I172)</f>
        <v>23771.42</v>
      </c>
      <c r="K172" s="15">
        <f>C172+J172</f>
        <v>72014.86</v>
      </c>
    </row>
    <row r="173" spans="1:11" ht="18" customHeight="1">
      <c r="A173" s="14" t="s">
        <v>301</v>
      </c>
      <c r="B173" s="15">
        <f>B147*(1+$B$15)</f>
        <v>3015.22</v>
      </c>
      <c r="C173" s="15">
        <f>B173*12</f>
        <v>36182.58</v>
      </c>
      <c r="D173" s="15">
        <f>B173*$B$16</f>
        <v>6030.43</v>
      </c>
      <c r="E173" s="15">
        <f>C173*$B$17</f>
        <v>3256.43</v>
      </c>
      <c r="F173" s="15">
        <f>(C173+D173)*$B$18</f>
        <v>3516.34</v>
      </c>
      <c r="G173" s="15">
        <f>B173*$B$19</f>
        <v>1507.61</v>
      </c>
      <c r="H173" s="15">
        <f>0</f>
        <v>0.0</v>
      </c>
      <c r="I173" s="15">
        <f>B173*$B$20</f>
        <v>3517.75</v>
      </c>
      <c r="J173" s="15">
        <f>SUM(D173:I173)</f>
        <v>17828.57</v>
      </c>
      <c r="K173" s="15">
        <f>C173+J173</f>
        <v>54011.15</v>
      </c>
    </row>
    <row r="174" spans="1:11" ht="18" customHeight="1">
      <c r="A174" s="14" t="s">
        <v>311</v>
      </c>
      <c r="B174" s="15">
        <f>B148*(1+$B$15)</f>
        <v>3190.7</v>
      </c>
      <c r="C174" s="15">
        <f>B174*12</f>
        <v>38288.45</v>
      </c>
      <c r="D174" s="15">
        <f>B174*$B$16</f>
        <v>6381.41</v>
      </c>
      <c r="E174" s="15">
        <f>C174*$B$17</f>
        <v>3445.96</v>
      </c>
      <c r="F174" s="15">
        <f>(C174+D174)*$B$18</f>
        <v>3721.0</v>
      </c>
      <c r="G174" s="15">
        <f>B174*$B$19</f>
        <v>1595.35</v>
      </c>
      <c r="H174" s="15">
        <f>0</f>
        <v>0.0</v>
      </c>
      <c r="I174" s="15">
        <f>B174*$B$20</f>
        <v>3722.49</v>
      </c>
      <c r="J174" s="15">
        <f>SUM(D174:I174)</f>
        <v>18866.21</v>
      </c>
      <c r="K174" s="15">
        <f>C174+J174</f>
        <v>57154.65</v>
      </c>
    </row>
    <row r="175" spans="1:11" ht="18" customHeight="1">
      <c r="A175" s="14" t="s">
        <v>313</v>
      </c>
      <c r="B175" s="15">
        <f>B149*(1+$B$15)</f>
        <v>1033.18</v>
      </c>
      <c r="C175" s="15">
        <f>B175*12</f>
        <v>12398.16</v>
      </c>
      <c r="D175" s="15">
        <f>B175*$B$16</f>
        <v>2066.36</v>
      </c>
      <c r="E175" s="15">
        <f>C175*$B$17</f>
        <v>1115.83</v>
      </c>
      <c r="F175" s="15">
        <f>(C175+D175)*$B$18</f>
        <v>1204.89</v>
      </c>
      <c r="G175" s="15">
        <f>B175*$B$19</f>
        <v>516.59</v>
      </c>
      <c r="H175" s="15">
        <f>0</f>
        <v>0.0</v>
      </c>
      <c r="I175" s="15">
        <f>B175*$B$20</f>
        <v>1205.38</v>
      </c>
      <c r="J175" s="15">
        <f>SUM(D175:I175)</f>
        <v>6109.06</v>
      </c>
      <c r="K175" s="15">
        <f>C175+J175</f>
        <v>18507.22</v>
      </c>
    </row>
    <row r="176" spans="1:11" ht="18" customHeight="1">
      <c r="A176" s="14" t="s">
        <v>319</v>
      </c>
      <c r="B176" s="15">
        <f>B150*(1+$B$15)</f>
        <v>892.5</v>
      </c>
      <c r="C176" s="15">
        <f>B176*12</f>
        <v>10710.0</v>
      </c>
      <c r="D176" s="15">
        <f>B176*$B$16</f>
        <v>1785.0</v>
      </c>
      <c r="E176" s="15">
        <f>C176*$B$17</f>
        <v>963.9</v>
      </c>
      <c r="F176" s="15">
        <f>(C176+D176)*$B$18</f>
        <v>1040.83</v>
      </c>
      <c r="G176" s="15">
        <f>B176*$B$19</f>
        <v>446.25</v>
      </c>
      <c r="H176" s="15">
        <f>0</f>
        <v>0.0</v>
      </c>
      <c r="I176" s="15">
        <f>B176*$B$20</f>
        <v>1041.25</v>
      </c>
      <c r="J176" s="15">
        <f>SUM(D176:I176)</f>
        <v>5277.23</v>
      </c>
      <c r="K176" s="15">
        <f>C176+J176</f>
        <v>15987.23</v>
      </c>
    </row>
    <row r="177" spans="1:11" ht="18" customHeight="1">
      <c r="A177" s="8" t="s">
        <v>302</v>
      </c>
      <c r="K177" s="8">
        <f>SUM(K172:K176)</f>
        <v>217675.12</v>
      </c>
    </row>
    <row r="178" spans="1:11" ht="18" customHeight="1">
      <c r="A178" s="3" t="s">
        <v>303</v>
      </c>
    </row>
    <row r="179" spans="1:11" ht="18" customHeight="1">
      <c r="A179" s="14" t="s">
        <v>304</v>
      </c>
      <c r="B179" s="15">
        <f>B153*(1+$B$15)</f>
        <v>1139.08</v>
      </c>
      <c r="C179" s="15">
        <f>B179*12</f>
        <v>13668.98</v>
      </c>
      <c r="D179" s="15">
        <f>B179*$B$16</f>
        <v>2278.16</v>
      </c>
      <c r="E179" s="15">
        <f>C179*$B$17</f>
        <v>1230.21</v>
      </c>
      <c r="F179" s="15">
        <f>(C179+D179)*$B$18</f>
        <v>1328.4</v>
      </c>
      <c r="G179" s="15">
        <f>B179*$B$19</f>
        <v>569.54</v>
      </c>
      <c r="H179" s="15">
        <f>0</f>
        <v>0.0</v>
      </c>
      <c r="I179" s="15">
        <f>B179*$B$20</f>
        <v>1328.93</v>
      </c>
      <c r="J179" s="15">
        <f>SUM(D179:I179)</f>
        <v>6735.24</v>
      </c>
      <c r="K179" s="15">
        <f>C179+J179</f>
        <v>20404.21</v>
      </c>
    </row>
    <row r="180" spans="1:11" ht="18" customHeight="1">
      <c r="A180" s="14" t="s">
        <v>315</v>
      </c>
      <c r="B180" s="15">
        <f>B154*(1+$B$15)</f>
        <v>983.98</v>
      </c>
      <c r="C180" s="15">
        <f>B180*12</f>
        <v>11807.78</v>
      </c>
      <c r="D180" s="15">
        <f>B180*$B$16</f>
        <v>1967.96</v>
      </c>
      <c r="E180" s="15">
        <f>C180*$B$17</f>
        <v>1062.7</v>
      </c>
      <c r="F180" s="15">
        <f>(C180+D180)*$B$18</f>
        <v>1147.52</v>
      </c>
      <c r="G180" s="15">
        <f>B180*$B$19</f>
        <v>491.99</v>
      </c>
      <c r="H180" s="15">
        <f>0</f>
        <v>0.0</v>
      </c>
      <c r="I180" s="15">
        <f>B180*$B$20</f>
        <v>1147.98</v>
      </c>
      <c r="J180" s="15">
        <f>SUM(D180:I180)</f>
        <v>5818.15</v>
      </c>
      <c r="K180" s="15">
        <f>C180+J180</f>
        <v>17625.92</v>
      </c>
    </row>
    <row r="181" spans="1:11" ht="18" customHeight="1">
      <c r="A181" s="8" t="s">
        <v>305</v>
      </c>
      <c r="K181" s="8">
        <f>SUM(K179:K180)</f>
        <v>38030.14</v>
      </c>
    </row>
    <row r="183" spans="1:11" ht="18" customHeight="1">
      <c r="A183" s="16" t="s">
        <v>306</v>
      </c>
      <c r="B183" s="16"/>
      <c r="C183" s="16"/>
      <c r="D183" s="16"/>
      <c r="E183" s="16"/>
      <c r="F183" s="16"/>
      <c r="G183" s="16"/>
      <c r="H183" s="16"/>
      <c r="I183" s="16"/>
      <c r="J183" s="16"/>
      <c r="K183" s="16"/>
    </row>
    <row r="184" spans="1:11" ht="18" customHeight="1">
      <c r="A184" s="16" t="s">
        <v>307</v>
      </c>
      <c r="B184" s="16"/>
      <c r="C184" s="16"/>
      <c r="D184" s="16"/>
      <c r="E184" s="16"/>
      <c r="F184" s="16"/>
      <c r="G184" s="16"/>
      <c r="H184" s="16"/>
      <c r="I184" s="16"/>
      <c r="J184" s="16"/>
      <c r="K184" s="17">
        <f>K172</f>
        <v>72014.86</v>
      </c>
    </row>
    <row r="185" spans="1:11" ht="18" customHeight="1">
      <c r="A185" s="16" t="s">
        <v>233</v>
      </c>
      <c r="B185" s="16"/>
      <c r="C185" s="16"/>
      <c r="D185" s="16"/>
      <c r="E185" s="16"/>
      <c r="F185" s="16"/>
      <c r="G185" s="16"/>
      <c r="H185" s="16"/>
      <c r="I185" s="16"/>
      <c r="J185" s="16"/>
      <c r="K185" s="17">
        <f>K173+K174+K175+K176</f>
        <v>145660.26</v>
      </c>
    </row>
    <row r="186" spans="1:11" ht="18" customHeight="1">
      <c r="A186" s="16" t="s">
        <v>308</v>
      </c>
      <c r="B186" s="16"/>
      <c r="C186" s="16"/>
      <c r="D186" s="16"/>
      <c r="E186" s="16"/>
      <c r="F186" s="16"/>
      <c r="G186" s="16"/>
      <c r="H186" s="16"/>
      <c r="I186" s="16"/>
      <c r="J186" s="16"/>
      <c r="K186" s="18">
        <f>SUM(K184:K185)</f>
        <v>217675.12</v>
      </c>
    </row>
    <row r="187" spans="1:11" ht="30" customHeight="1">
      <c r="A187" s="19" t="s">
        <v>309</v>
      </c>
      <c r="B187" s="19"/>
      <c r="C187" s="19"/>
      <c r="D187" s="19"/>
      <c r="E187" s="19"/>
      <c r="F187" s="19"/>
      <c r="G187" s="19"/>
      <c r="H187" s="19"/>
      <c r="I187" s="19"/>
      <c r="J187" s="19"/>
      <c r="K187" s="19"/>
    </row>
    <row r="190" spans="1:11" ht="20" customHeight="1">
      <c r="A190" s="3" t="s">
        <v>321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 spans="1:11" ht="18" customHeight="1">
      <c r="A191" s="4" t="s">
        <v>284</v>
      </c>
      <c r="B191" s="4" t="s">
        <v>285</v>
      </c>
      <c r="C191" s="4" t="s">
        <v>286</v>
      </c>
      <c r="D191" s="4" t="s">
        <v>287</v>
      </c>
      <c r="E191" s="4" t="s">
        <v>288</v>
      </c>
      <c r="F191" s="4" t="s">
        <v>289</v>
      </c>
      <c r="G191" s="4" t="s">
        <v>290</v>
      </c>
      <c r="H191" s="4" t="s">
        <v>291</v>
      </c>
      <c r="I191" s="4" t="s">
        <v>292</v>
      </c>
      <c r="J191" s="4" t="s">
        <v>293</v>
      </c>
      <c r="K191" s="4" t="s">
        <v>294</v>
      </c>
    </row>
    <row r="192" spans="1:11" ht="18" customHeight="1">
      <c r="A192" s="3" t="s">
        <v>295</v>
      </c>
    </row>
    <row r="193" spans="1:11" ht="18" customHeight="1">
      <c r="A193" s="14" t="s">
        <v>296</v>
      </c>
      <c r="B193" s="15">
        <f>B167*(1+$B$15)</f>
        <v>5276.63</v>
      </c>
      <c r="C193" s="15">
        <f>B193*12</f>
        <v>63319.52</v>
      </c>
      <c r="D193" s="15">
        <f>B193*$B$16</f>
        <v>10553.25</v>
      </c>
      <c r="E193" s="15">
        <f>C193*$B$17</f>
        <v>5698.76</v>
      </c>
      <c r="F193" s="15">
        <f>(C193+D193)*$B$18</f>
        <v>6153.6</v>
      </c>
      <c r="G193" s="15">
        <f>B193*$B$19</f>
        <v>2638.31</v>
      </c>
      <c r="H193" s="15">
        <f>0</f>
        <v>0.0</v>
      </c>
      <c r="I193" s="15">
        <f>B193*$B$20</f>
        <v>6156.06</v>
      </c>
      <c r="J193" s="15">
        <f>SUM(D193:I193)</f>
        <v>31199.99</v>
      </c>
      <c r="K193" s="15">
        <f>C193+J193</f>
        <v>94519.51</v>
      </c>
    </row>
    <row r="194" spans="1:11" ht="18" customHeight="1">
      <c r="A194" s="14" t="s">
        <v>297</v>
      </c>
      <c r="B194" s="15">
        <f>B168*(1+$B$15)</f>
        <v>1125.68</v>
      </c>
      <c r="C194" s="15">
        <f>B194*12</f>
        <v>13508.16</v>
      </c>
      <c r="D194" s="15">
        <f>B194*$B$16</f>
        <v>2251.36</v>
      </c>
      <c r="E194" s="15">
        <f>C194*$B$17</f>
        <v>1215.73</v>
      </c>
      <c r="F194" s="15">
        <f>(C194+D194)*$B$18</f>
        <v>1312.77</v>
      </c>
      <c r="G194" s="15">
        <f>B194*$B$19</f>
        <v>562.84</v>
      </c>
      <c r="H194" s="15">
        <f>0</f>
        <v>0.0</v>
      </c>
      <c r="I194" s="15">
        <f>B194*$B$20</f>
        <v>1313.29</v>
      </c>
      <c r="J194" s="15">
        <f>SUM(D194:I194)</f>
        <v>6656.0</v>
      </c>
      <c r="K194" s="15">
        <f>C194+J194</f>
        <v>20164.16</v>
      </c>
    </row>
    <row r="195" spans="1:11" ht="18" customHeight="1">
      <c r="A195" s="14" t="s">
        <v>317</v>
      </c>
      <c r="B195" s="15">
        <f>B169*(1+$B$15)</f>
        <v>983.98</v>
      </c>
      <c r="C195" s="15">
        <f>B195*12</f>
        <v>11807.78</v>
      </c>
      <c r="D195" s="15">
        <f>B195*$B$16</f>
        <v>1967.96</v>
      </c>
      <c r="E195" s="15">
        <f>C195*$B$17</f>
        <v>1062.7</v>
      </c>
      <c r="F195" s="15">
        <f>(C195+D195)*$B$18</f>
        <v>1147.52</v>
      </c>
      <c r="G195" s="15">
        <f>B195*$B$19</f>
        <v>491.99</v>
      </c>
      <c r="H195" s="15">
        <f>0</f>
        <v>0.0</v>
      </c>
      <c r="I195" s="15">
        <f>B195*$B$20</f>
        <v>1147.98</v>
      </c>
      <c r="J195" s="15">
        <f>SUM(D195:I195)</f>
        <v>5818.15</v>
      </c>
      <c r="K195" s="15">
        <f>C195+J195</f>
        <v>17625.92</v>
      </c>
    </row>
    <row r="196" spans="1:11" ht="18" customHeight="1">
      <c r="A196" s="8" t="s">
        <v>298</v>
      </c>
      <c r="K196" s="8">
        <f>SUM(K193:K195)</f>
        <v>132309.6</v>
      </c>
    </row>
    <row r="197" spans="1:11" ht="18" customHeight="1">
      <c r="A197" s="3" t="s">
        <v>299</v>
      </c>
    </row>
    <row r="198" spans="1:11" ht="18" customHeight="1">
      <c r="A198" s="14" t="s">
        <v>300</v>
      </c>
      <c r="B198" s="15">
        <f>B172*(1+$B$15)</f>
        <v>4221.3</v>
      </c>
      <c r="C198" s="15">
        <f>B198*12</f>
        <v>50655.62</v>
      </c>
      <c r="D198" s="15">
        <f>B198*$B$16</f>
        <v>8442.6</v>
      </c>
      <c r="E198" s="15">
        <f>C198*$B$17</f>
        <v>4559.01</v>
      </c>
      <c r="F198" s="15">
        <f>(C198+D198)*$B$18</f>
        <v>4922.88</v>
      </c>
      <c r="G198" s="15">
        <f>B198*$B$19</f>
        <v>2110.65</v>
      </c>
      <c r="H198" s="15">
        <f>0</f>
        <v>0.0</v>
      </c>
      <c r="I198" s="15">
        <f>B198*$B$20</f>
        <v>4924.85</v>
      </c>
      <c r="J198" s="15">
        <f>SUM(D198:I198)</f>
        <v>24959.99</v>
      </c>
      <c r="K198" s="15">
        <f>C198+J198</f>
        <v>75615.61</v>
      </c>
    </row>
    <row r="199" spans="1:11" ht="18" customHeight="1">
      <c r="A199" s="14" t="s">
        <v>301</v>
      </c>
      <c r="B199" s="15">
        <f>B173*(1+$B$15)</f>
        <v>3165.98</v>
      </c>
      <c r="C199" s="15">
        <f>B199*12</f>
        <v>37991.71</v>
      </c>
      <c r="D199" s="15">
        <f>B199*$B$16</f>
        <v>6331.95</v>
      </c>
      <c r="E199" s="15">
        <f>C199*$B$17</f>
        <v>3419.25</v>
      </c>
      <c r="F199" s="15">
        <f>(C199+D199)*$B$18</f>
        <v>3692.16</v>
      </c>
      <c r="G199" s="15">
        <f>B199*$B$19</f>
        <v>1582.99</v>
      </c>
      <c r="H199" s="15">
        <f>0</f>
        <v>0.0</v>
      </c>
      <c r="I199" s="15">
        <f>B199*$B$20</f>
        <v>3693.64</v>
      </c>
      <c r="J199" s="15">
        <f>SUM(D199:I199)</f>
        <v>18719.99</v>
      </c>
      <c r="K199" s="15">
        <f>C199+J199</f>
        <v>56711.71</v>
      </c>
    </row>
    <row r="200" spans="1:11" ht="18" customHeight="1">
      <c r="A200" s="14" t="s">
        <v>311</v>
      </c>
      <c r="B200" s="15">
        <f>B174*(1+$B$15)</f>
        <v>3350.24</v>
      </c>
      <c r="C200" s="15">
        <f>B200*12</f>
        <v>40202.87</v>
      </c>
      <c r="D200" s="15">
        <f>B200*$B$16</f>
        <v>6700.48</v>
      </c>
      <c r="E200" s="15">
        <f>C200*$B$17</f>
        <v>3618.26</v>
      </c>
      <c r="F200" s="15">
        <f>(C200+D200)*$B$18</f>
        <v>3907.05</v>
      </c>
      <c r="G200" s="15">
        <f>B200*$B$19</f>
        <v>1675.12</v>
      </c>
      <c r="H200" s="15">
        <f>0</f>
        <v>0.0</v>
      </c>
      <c r="I200" s="15">
        <f>B200*$B$20</f>
        <v>3908.61</v>
      </c>
      <c r="J200" s="15">
        <f>SUM(D200:I200)</f>
        <v>19809.52</v>
      </c>
      <c r="K200" s="15">
        <f>C200+J200</f>
        <v>60012.39</v>
      </c>
    </row>
    <row r="201" spans="1:11" ht="18" customHeight="1">
      <c r="A201" s="14" t="s">
        <v>313</v>
      </c>
      <c r="B201" s="15">
        <f>B175*(1+$B$15)</f>
        <v>1084.84</v>
      </c>
      <c r="C201" s="15">
        <f>B201*12</f>
        <v>13018.07</v>
      </c>
      <c r="D201" s="15">
        <f>B201*$B$16</f>
        <v>2169.68</v>
      </c>
      <c r="E201" s="15">
        <f>C201*$B$17</f>
        <v>1171.63</v>
      </c>
      <c r="F201" s="15">
        <f>(C201+D201)*$B$18</f>
        <v>1265.14</v>
      </c>
      <c r="G201" s="15">
        <f>B201*$B$19</f>
        <v>542.42</v>
      </c>
      <c r="H201" s="15">
        <f>0</f>
        <v>0.0</v>
      </c>
      <c r="I201" s="15">
        <f>B201*$B$20</f>
        <v>1265.65</v>
      </c>
      <c r="J201" s="15">
        <f>SUM(D201:I201)</f>
        <v>6414.51</v>
      </c>
      <c r="K201" s="15">
        <f>C201+J201</f>
        <v>19432.58</v>
      </c>
    </row>
    <row r="202" spans="1:11" ht="18" customHeight="1">
      <c r="A202" s="14" t="s">
        <v>319</v>
      </c>
      <c r="B202" s="15">
        <f>B176*(1+$B$15)</f>
        <v>937.12</v>
      </c>
      <c r="C202" s="15">
        <f>B202*12</f>
        <v>11245.5</v>
      </c>
      <c r="D202" s="15">
        <f>B202*$B$16</f>
        <v>1874.25</v>
      </c>
      <c r="E202" s="15">
        <f>C202*$B$17</f>
        <v>1012.09</v>
      </c>
      <c r="F202" s="15">
        <f>(C202+D202)*$B$18</f>
        <v>1092.88</v>
      </c>
      <c r="G202" s="15">
        <f>B202*$B$19</f>
        <v>468.56</v>
      </c>
      <c r="H202" s="15">
        <f>0</f>
        <v>0.0</v>
      </c>
      <c r="I202" s="15">
        <f>B202*$B$20</f>
        <v>1093.31</v>
      </c>
      <c r="J202" s="15">
        <f>SUM(D202:I202)</f>
        <v>5541.1</v>
      </c>
      <c r="K202" s="15">
        <f>C202+J202</f>
        <v>16786.6</v>
      </c>
    </row>
    <row r="203" spans="1:11" ht="18" customHeight="1">
      <c r="A203" s="14" t="s">
        <v>322</v>
      </c>
      <c r="B203" s="15">
        <v>2500</v>
      </c>
      <c r="C203" s="15">
        <f>B203*12</f>
        <v>30000.0</v>
      </c>
      <c r="D203" s="15">
        <f>B203*$B$16</f>
        <v>5000.0</v>
      </c>
      <c r="E203" s="15">
        <f>C203*$B$17</f>
        <v>2700.0</v>
      </c>
      <c r="F203" s="15">
        <f>(C203+D203)*$B$18</f>
        <v>2915.5</v>
      </c>
      <c r="G203" s="15">
        <f>B203*$B$19</f>
        <v>1250.0</v>
      </c>
      <c r="H203" s="15">
        <f>0</f>
        <v>0.0</v>
      </c>
      <c r="I203" s="15">
        <f>B203*$B$20</f>
        <v>2916.67</v>
      </c>
      <c r="J203" s="15">
        <f>SUM(D203:I203)</f>
        <v>14782.17</v>
      </c>
      <c r="K203" s="15">
        <f>C203+J203</f>
        <v>44782.17</v>
      </c>
    </row>
    <row r="204" spans="1:11" ht="18" customHeight="1">
      <c r="A204" s="8" t="s">
        <v>302</v>
      </c>
      <c r="K204" s="8">
        <f>SUM(K198:K203)</f>
        <v>273341.04</v>
      </c>
    </row>
    <row r="205" spans="1:11" ht="18" customHeight="1">
      <c r="A205" s="3" t="s">
        <v>303</v>
      </c>
    </row>
    <row r="206" spans="1:11" ht="18" customHeight="1">
      <c r="A206" s="14" t="s">
        <v>304</v>
      </c>
      <c r="B206" s="15">
        <f>B179*(1+$B$15)</f>
        <v>1196.04</v>
      </c>
      <c r="C206" s="15">
        <f>B206*12</f>
        <v>14352.42</v>
      </c>
      <c r="D206" s="15">
        <f>B206*$B$16</f>
        <v>2392.07</v>
      </c>
      <c r="E206" s="15">
        <f>C206*$B$17</f>
        <v>1291.72</v>
      </c>
      <c r="F206" s="15">
        <f>(C206+D206)*$B$18</f>
        <v>1394.82</v>
      </c>
      <c r="G206" s="15">
        <f>B206*$B$19</f>
        <v>598.02</v>
      </c>
      <c r="H206" s="15">
        <f>0</f>
        <v>0.0</v>
      </c>
      <c r="I206" s="15">
        <f>B206*$B$20</f>
        <v>1395.37</v>
      </c>
      <c r="J206" s="15">
        <f>SUM(D206:I206)</f>
        <v>7072.0</v>
      </c>
      <c r="K206" s="15">
        <f>C206+J206</f>
        <v>21424.42</v>
      </c>
    </row>
    <row r="207" spans="1:11" ht="18" customHeight="1">
      <c r="A207" s="14" t="s">
        <v>315</v>
      </c>
      <c r="B207" s="15">
        <f>B180*(1+$B$15)</f>
        <v>1033.18</v>
      </c>
      <c r="C207" s="15">
        <f>B207*12</f>
        <v>12398.16</v>
      </c>
      <c r="D207" s="15">
        <f>B207*$B$16</f>
        <v>2066.36</v>
      </c>
      <c r="E207" s="15">
        <f>C207*$B$17</f>
        <v>1115.83</v>
      </c>
      <c r="F207" s="15">
        <f>(C207+D207)*$B$18</f>
        <v>1204.89</v>
      </c>
      <c r="G207" s="15">
        <f>B207*$B$19</f>
        <v>516.59</v>
      </c>
      <c r="H207" s="15">
        <f>0</f>
        <v>0.0</v>
      </c>
      <c r="I207" s="15">
        <f>B207*$B$20</f>
        <v>1205.38</v>
      </c>
      <c r="J207" s="15">
        <f>SUM(D207:I207)</f>
        <v>6109.06</v>
      </c>
      <c r="K207" s="15">
        <f>C207+J207</f>
        <v>18507.22</v>
      </c>
    </row>
    <row r="208" spans="1:11" ht="18" customHeight="1">
      <c r="A208" s="14" t="s">
        <v>323</v>
      </c>
      <c r="B208" s="15">
        <v>850</v>
      </c>
      <c r="C208" s="15">
        <f>B208*12</f>
        <v>10200.0</v>
      </c>
      <c r="D208" s="15">
        <f>B208*$B$16</f>
        <v>1700.0</v>
      </c>
      <c r="E208" s="15">
        <f>C208*$B$17</f>
        <v>918.0</v>
      </c>
      <c r="F208" s="15">
        <f>(C208+D208)*$B$18</f>
        <v>991.27</v>
      </c>
      <c r="G208" s="15">
        <f>B208*$B$19</f>
        <v>425.0</v>
      </c>
      <c r="H208" s="15">
        <f>0</f>
        <v>0.0</v>
      </c>
      <c r="I208" s="15">
        <f>B208*$B$20</f>
        <v>991.67</v>
      </c>
      <c r="J208" s="15">
        <f>SUM(D208:I208)</f>
        <v>5025.94</v>
      </c>
      <c r="K208" s="15">
        <f>C208+J208</f>
        <v>15225.94</v>
      </c>
    </row>
    <row r="209" spans="1:11" ht="18" customHeight="1">
      <c r="A209" s="8" t="s">
        <v>305</v>
      </c>
      <c r="K209" s="8">
        <f>SUM(K206:K208)</f>
        <v>55157.58</v>
      </c>
    </row>
    <row r="211" spans="1:11" ht="18" customHeight="1">
      <c r="A211" s="16" t="s">
        <v>306</v>
      </c>
      <c r="B211" s="16"/>
      <c r="C211" s="16"/>
      <c r="D211" s="16"/>
      <c r="E211" s="16"/>
      <c r="F211" s="16"/>
      <c r="G211" s="16"/>
      <c r="H211" s="16"/>
      <c r="I211" s="16"/>
      <c r="J211" s="16"/>
      <c r="K211" s="16"/>
    </row>
    <row r="212" spans="1:11" ht="18" customHeight="1">
      <c r="A212" s="16" t="s">
        <v>307</v>
      </c>
      <c r="B212" s="16"/>
      <c r="C212" s="16"/>
      <c r="D212" s="16"/>
      <c r="E212" s="16"/>
      <c r="F212" s="16"/>
      <c r="G212" s="16"/>
      <c r="H212" s="16"/>
      <c r="I212" s="16"/>
      <c r="J212" s="16"/>
      <c r="K212" s="17">
        <f>K198</f>
        <v>75615.61</v>
      </c>
    </row>
    <row r="213" spans="1:11" ht="18" customHeight="1">
      <c r="A213" s="16" t="s">
        <v>233</v>
      </c>
      <c r="B213" s="16"/>
      <c r="C213" s="16"/>
      <c r="D213" s="16"/>
      <c r="E213" s="16"/>
      <c r="F213" s="16"/>
      <c r="G213" s="16"/>
      <c r="H213" s="16"/>
      <c r="I213" s="16"/>
      <c r="J213" s="16"/>
      <c r="K213" s="17">
        <f>K199+K200+K201+K202+K203</f>
        <v>197725.44</v>
      </c>
    </row>
    <row r="214" spans="1:11" ht="18" customHeight="1">
      <c r="A214" s="16" t="s">
        <v>308</v>
      </c>
      <c r="B214" s="16"/>
      <c r="C214" s="16"/>
      <c r="D214" s="16"/>
      <c r="E214" s="16"/>
      <c r="F214" s="16"/>
      <c r="G214" s="16"/>
      <c r="H214" s="16"/>
      <c r="I214" s="16"/>
      <c r="J214" s="16"/>
      <c r="K214" s="18">
        <f>SUM(K212:K213)</f>
        <v>273341.04</v>
      </c>
    </row>
    <row r="215" spans="1:11" ht="30" customHeight="1">
      <c r="A215" s="19" t="s">
        <v>309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</row>
    <row r="218" spans="1:11" ht="20" customHeight="1">
      <c r="A218" s="3" t="s">
        <v>324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 spans="1:11" ht="18" customHeight="1">
      <c r="A219" s="4" t="s">
        <v>284</v>
      </c>
      <c r="B219" s="4" t="s">
        <v>285</v>
      </c>
      <c r="C219" s="4" t="s">
        <v>286</v>
      </c>
      <c r="D219" s="4" t="s">
        <v>287</v>
      </c>
      <c r="E219" s="4" t="s">
        <v>288</v>
      </c>
      <c r="F219" s="4" t="s">
        <v>289</v>
      </c>
      <c r="G219" s="4" t="s">
        <v>290</v>
      </c>
      <c r="H219" s="4" t="s">
        <v>291</v>
      </c>
      <c r="I219" s="4" t="s">
        <v>292</v>
      </c>
      <c r="J219" s="4" t="s">
        <v>293</v>
      </c>
      <c r="K219" s="4" t="s">
        <v>294</v>
      </c>
    </row>
    <row r="220" spans="1:11" ht="18" customHeight="1">
      <c r="A220" s="3" t="s">
        <v>295</v>
      </c>
    </row>
    <row r="221" spans="1:11" ht="18" customHeight="1">
      <c r="A221" s="14" t="s">
        <v>296</v>
      </c>
      <c r="B221" s="15">
        <f>B193*(1+$B$15)</f>
        <v>5540.46</v>
      </c>
      <c r="C221" s="15">
        <f>B221*12</f>
        <v>66485.49</v>
      </c>
      <c r="D221" s="15">
        <f>B221*$B$16</f>
        <v>11080.92</v>
      </c>
      <c r="E221" s="15">
        <f>C221*$B$17</f>
        <v>5983.69</v>
      </c>
      <c r="F221" s="15">
        <f>(C221+D221)*$B$18</f>
        <v>6461.28</v>
      </c>
      <c r="G221" s="15">
        <f>B221*$B$19</f>
        <v>2770.23</v>
      </c>
      <c r="H221" s="15">
        <f>0</f>
        <v>0.0</v>
      </c>
      <c r="I221" s="15">
        <f>B221*$B$20</f>
        <v>6463.87</v>
      </c>
      <c r="J221" s="15">
        <f>SUM(D221:I221)</f>
        <v>32759.99</v>
      </c>
      <c r="K221" s="15">
        <f>C221+J221</f>
        <v>99245.48</v>
      </c>
    </row>
    <row r="222" spans="1:11" ht="18" customHeight="1">
      <c r="A222" s="14" t="s">
        <v>297</v>
      </c>
      <c r="B222" s="15">
        <f>B194*(1+$B$15)</f>
        <v>1181.96</v>
      </c>
      <c r="C222" s="15">
        <f>B222*12</f>
        <v>14183.57</v>
      </c>
      <c r="D222" s="15">
        <f>B222*$B$16</f>
        <v>2363.93</v>
      </c>
      <c r="E222" s="15">
        <f>C222*$B$17</f>
        <v>1276.52</v>
      </c>
      <c r="F222" s="15">
        <f>(C222+D222)*$B$18</f>
        <v>1378.41</v>
      </c>
      <c r="G222" s="15">
        <f>B222*$B$19</f>
        <v>590.98</v>
      </c>
      <c r="H222" s="15">
        <f>0</f>
        <v>0.0</v>
      </c>
      <c r="I222" s="15">
        <f>B222*$B$20</f>
        <v>1378.96</v>
      </c>
      <c r="J222" s="15">
        <f>SUM(D222:I222)</f>
        <v>6988.8</v>
      </c>
      <c r="K222" s="15">
        <f>C222+J222</f>
        <v>21172.37</v>
      </c>
    </row>
    <row r="223" spans="1:11" ht="18" customHeight="1">
      <c r="A223" s="14" t="s">
        <v>317</v>
      </c>
      <c r="B223" s="15">
        <f>B195*(1+$B$15)</f>
        <v>1033.18</v>
      </c>
      <c r="C223" s="15">
        <f>B223*12</f>
        <v>12398.16</v>
      </c>
      <c r="D223" s="15">
        <f>B223*$B$16</f>
        <v>2066.36</v>
      </c>
      <c r="E223" s="15">
        <f>C223*$B$17</f>
        <v>1115.83</v>
      </c>
      <c r="F223" s="15">
        <f>(C223+D223)*$B$18</f>
        <v>1204.89</v>
      </c>
      <c r="G223" s="15">
        <f>B223*$B$19</f>
        <v>516.59</v>
      </c>
      <c r="H223" s="15">
        <f>0</f>
        <v>0.0</v>
      </c>
      <c r="I223" s="15">
        <f>B223*$B$20</f>
        <v>1205.38</v>
      </c>
      <c r="J223" s="15">
        <f>SUM(D223:I223)</f>
        <v>6109.06</v>
      </c>
      <c r="K223" s="15">
        <f>C223+J223</f>
        <v>18507.22</v>
      </c>
    </row>
    <row r="224" spans="1:11" ht="18" customHeight="1">
      <c r="A224" s="8" t="s">
        <v>298</v>
      </c>
      <c r="K224" s="8">
        <f>SUM(K221:K223)</f>
        <v>138925.07</v>
      </c>
    </row>
    <row r="225" spans="1:11" ht="18" customHeight="1">
      <c r="A225" s="3" t="s">
        <v>299</v>
      </c>
    </row>
    <row r="226" spans="1:11" ht="18" customHeight="1">
      <c r="A226" s="14" t="s">
        <v>300</v>
      </c>
      <c r="B226" s="15">
        <f>B198*(1+$B$15)</f>
        <v>4432.37</v>
      </c>
      <c r="C226" s="15">
        <f>B226*12</f>
        <v>53188.4</v>
      </c>
      <c r="D226" s="15">
        <f>B226*$B$16</f>
        <v>8864.73</v>
      </c>
      <c r="E226" s="15">
        <f>C226*$B$17</f>
        <v>4786.96</v>
      </c>
      <c r="F226" s="15">
        <f>(C226+D226)*$B$18</f>
        <v>5169.03</v>
      </c>
      <c r="G226" s="15">
        <f>B226*$B$19</f>
        <v>2216.18</v>
      </c>
      <c r="H226" s="15">
        <f>0</f>
        <v>0.0</v>
      </c>
      <c r="I226" s="15">
        <f>B226*$B$20</f>
        <v>5171.09</v>
      </c>
      <c r="J226" s="15">
        <f>SUM(D226:I226)</f>
        <v>26207.99</v>
      </c>
      <c r="K226" s="15">
        <f>C226+J226</f>
        <v>79396.39</v>
      </c>
    </row>
    <row r="227" spans="1:11" ht="18" customHeight="1">
      <c r="A227" s="14" t="s">
        <v>301</v>
      </c>
      <c r="B227" s="15">
        <f>B199*(1+$B$15)</f>
        <v>3324.27</v>
      </c>
      <c r="C227" s="15">
        <f>B227*12</f>
        <v>39891.3</v>
      </c>
      <c r="D227" s="15">
        <f>B227*$B$16</f>
        <v>6648.55</v>
      </c>
      <c r="E227" s="15">
        <f>C227*$B$17</f>
        <v>3590.22</v>
      </c>
      <c r="F227" s="15">
        <f>(C227+D227)*$B$18</f>
        <v>3876.77</v>
      </c>
      <c r="G227" s="15">
        <f>B227*$B$19</f>
        <v>1662.14</v>
      </c>
      <c r="H227" s="15">
        <f>0</f>
        <v>0.0</v>
      </c>
      <c r="I227" s="15">
        <f>B227*$B$20</f>
        <v>3878.32</v>
      </c>
      <c r="J227" s="15">
        <f>SUM(D227:I227)</f>
        <v>19655.99</v>
      </c>
      <c r="K227" s="15">
        <f>C227+J227</f>
        <v>59547.29</v>
      </c>
    </row>
    <row r="228" spans="1:11" ht="18" customHeight="1">
      <c r="A228" s="14" t="s">
        <v>311</v>
      </c>
      <c r="B228" s="15">
        <f>B200*(1+$B$15)</f>
        <v>3517.75</v>
      </c>
      <c r="C228" s="15">
        <f>B228*12</f>
        <v>42213.01</v>
      </c>
      <c r="D228" s="15">
        <f>B228*$B$16</f>
        <v>7035.5</v>
      </c>
      <c r="E228" s="15">
        <f>C228*$B$17</f>
        <v>3799.17</v>
      </c>
      <c r="F228" s="15">
        <f>(C228+D228)*$B$18</f>
        <v>4102.4</v>
      </c>
      <c r="G228" s="15">
        <f>B228*$B$19</f>
        <v>1758.88</v>
      </c>
      <c r="H228" s="15">
        <f>0</f>
        <v>0.0</v>
      </c>
      <c r="I228" s="15">
        <f>B228*$B$20</f>
        <v>4104.04</v>
      </c>
      <c r="J228" s="15">
        <f>SUM(D228:I228)</f>
        <v>20799.99</v>
      </c>
      <c r="K228" s="15">
        <f>C228+J228</f>
        <v>63013.01</v>
      </c>
    </row>
    <row r="229" spans="1:11" ht="18" customHeight="1">
      <c r="A229" s="14" t="s">
        <v>313</v>
      </c>
      <c r="B229" s="15">
        <f>B201*(1+$B$15)</f>
        <v>1139.08</v>
      </c>
      <c r="C229" s="15">
        <f>B229*12</f>
        <v>13668.98</v>
      </c>
      <c r="D229" s="15">
        <f>B229*$B$16</f>
        <v>2278.16</v>
      </c>
      <c r="E229" s="15">
        <f>C229*$B$17</f>
        <v>1230.21</v>
      </c>
      <c r="F229" s="15">
        <f>(C229+D229)*$B$18</f>
        <v>1328.4</v>
      </c>
      <c r="G229" s="15">
        <f>B229*$B$19</f>
        <v>569.54</v>
      </c>
      <c r="H229" s="15">
        <f>0</f>
        <v>0.0</v>
      </c>
      <c r="I229" s="15">
        <f>B229*$B$20</f>
        <v>1328.93</v>
      </c>
      <c r="J229" s="15">
        <f>SUM(D229:I229)</f>
        <v>6735.24</v>
      </c>
      <c r="K229" s="15">
        <f>C229+J229</f>
        <v>20404.21</v>
      </c>
    </row>
    <row r="230" spans="1:11" ht="18" customHeight="1">
      <c r="A230" s="14" t="s">
        <v>319</v>
      </c>
      <c r="B230" s="15">
        <f>B202*(1+$B$15)</f>
        <v>983.98</v>
      </c>
      <c r="C230" s="15">
        <f>B230*12</f>
        <v>11807.78</v>
      </c>
      <c r="D230" s="15">
        <f>B230*$B$16</f>
        <v>1967.96</v>
      </c>
      <c r="E230" s="15">
        <f>C230*$B$17</f>
        <v>1062.7</v>
      </c>
      <c r="F230" s="15">
        <f>(C230+D230)*$B$18</f>
        <v>1147.52</v>
      </c>
      <c r="G230" s="15">
        <f>B230*$B$19</f>
        <v>491.99</v>
      </c>
      <c r="H230" s="15">
        <f>0</f>
        <v>0.0</v>
      </c>
      <c r="I230" s="15">
        <f>B230*$B$20</f>
        <v>1147.98</v>
      </c>
      <c r="J230" s="15">
        <f>SUM(D230:I230)</f>
        <v>5818.15</v>
      </c>
      <c r="K230" s="15">
        <f>C230+J230</f>
        <v>17625.92</v>
      </c>
    </row>
    <row r="231" spans="1:11" ht="18" customHeight="1">
      <c r="A231" s="14" t="s">
        <v>322</v>
      </c>
      <c r="B231" s="15">
        <f>B203*(1+$B$15)</f>
        <v>2625.0</v>
      </c>
      <c r="C231" s="15">
        <f>B231*12</f>
        <v>31500.0</v>
      </c>
      <c r="D231" s="15">
        <f>B231*$B$16</f>
        <v>5250.0</v>
      </c>
      <c r="E231" s="15">
        <f>C231*$B$17</f>
        <v>2835.0</v>
      </c>
      <c r="F231" s="15">
        <f>(C231+D231)*$B$18</f>
        <v>3061.28</v>
      </c>
      <c r="G231" s="15">
        <f>B231*$B$19</f>
        <v>1312.5</v>
      </c>
      <c r="H231" s="15">
        <f>0</f>
        <v>0.0</v>
      </c>
      <c r="I231" s="15">
        <f>B231*$B$20</f>
        <v>3062.5</v>
      </c>
      <c r="J231" s="15">
        <f>SUM(D231:I231)</f>
        <v>15521.27</v>
      </c>
      <c r="K231" s="15">
        <f>C231+J231</f>
        <v>47021.28</v>
      </c>
    </row>
    <row r="232" spans="1:11" ht="18" customHeight="1">
      <c r="A232" s="8" t="s">
        <v>302</v>
      </c>
      <c r="K232" s="8">
        <f>SUM(K226:K231)</f>
        <v>287008.09</v>
      </c>
    </row>
    <row r="233" spans="1:11" ht="18" customHeight="1">
      <c r="A233" s="3" t="s">
        <v>303</v>
      </c>
    </row>
    <row r="234" spans="1:11" ht="18" customHeight="1">
      <c r="A234" s="14" t="s">
        <v>304</v>
      </c>
      <c r="B234" s="15">
        <f>B206*(1+$B$15)</f>
        <v>1255.84</v>
      </c>
      <c r="C234" s="15">
        <f>B234*12</f>
        <v>15070.05</v>
      </c>
      <c r="D234" s="15">
        <f>B234*$B$16</f>
        <v>2511.67</v>
      </c>
      <c r="E234" s="15">
        <f>C234*$B$17</f>
        <v>1356.3</v>
      </c>
      <c r="F234" s="15">
        <f>(C234+D234)*$B$18</f>
        <v>1464.56</v>
      </c>
      <c r="G234" s="15">
        <f>B234*$B$19</f>
        <v>627.92</v>
      </c>
      <c r="H234" s="15">
        <f>0</f>
        <v>0.0</v>
      </c>
      <c r="I234" s="15">
        <f>B234*$B$20</f>
        <v>1465.14</v>
      </c>
      <c r="J234" s="15">
        <f>SUM(D234:I234)</f>
        <v>7425.6</v>
      </c>
      <c r="K234" s="15">
        <f>C234+J234</f>
        <v>22495.64</v>
      </c>
    </row>
    <row r="235" spans="1:11" ht="18" customHeight="1">
      <c r="A235" s="14" t="s">
        <v>315</v>
      </c>
      <c r="B235" s="15">
        <f>B207*(1+$B$15)</f>
        <v>1084.84</v>
      </c>
      <c r="C235" s="15">
        <f>B235*12</f>
        <v>13018.07</v>
      </c>
      <c r="D235" s="15">
        <f>B235*$B$16</f>
        <v>2169.68</v>
      </c>
      <c r="E235" s="15">
        <f>C235*$B$17</f>
        <v>1171.63</v>
      </c>
      <c r="F235" s="15">
        <f>(C235+D235)*$B$18</f>
        <v>1265.14</v>
      </c>
      <c r="G235" s="15">
        <f>B235*$B$19</f>
        <v>542.42</v>
      </c>
      <c r="H235" s="15">
        <f>0</f>
        <v>0.0</v>
      </c>
      <c r="I235" s="15">
        <f>B235*$B$20</f>
        <v>1265.65</v>
      </c>
      <c r="J235" s="15">
        <f>SUM(D235:I235)</f>
        <v>6414.51</v>
      </c>
      <c r="K235" s="15">
        <f>C235+J235</f>
        <v>19432.58</v>
      </c>
    </row>
    <row r="236" spans="1:11" ht="18" customHeight="1">
      <c r="A236" s="14" t="s">
        <v>323</v>
      </c>
      <c r="B236" s="15">
        <f>B208*(1+$B$15)</f>
        <v>892.5</v>
      </c>
      <c r="C236" s="15">
        <f>B236*12</f>
        <v>10710.0</v>
      </c>
      <c r="D236" s="15">
        <f>B236*$B$16</f>
        <v>1785.0</v>
      </c>
      <c r="E236" s="15">
        <f>C236*$B$17</f>
        <v>963.9</v>
      </c>
      <c r="F236" s="15">
        <f>(C236+D236)*$B$18</f>
        <v>1040.83</v>
      </c>
      <c r="G236" s="15">
        <f>B236*$B$19</f>
        <v>446.25</v>
      </c>
      <c r="H236" s="15">
        <f>0</f>
        <v>0.0</v>
      </c>
      <c r="I236" s="15">
        <f>B236*$B$20</f>
        <v>1041.25</v>
      </c>
      <c r="J236" s="15">
        <f>SUM(D236:I236)</f>
        <v>5277.23</v>
      </c>
      <c r="K236" s="15">
        <f>C236+J236</f>
        <v>15987.23</v>
      </c>
    </row>
    <row r="237" spans="1:11" ht="18" customHeight="1">
      <c r="A237" s="8" t="s">
        <v>305</v>
      </c>
      <c r="K237" s="8">
        <f>SUM(K234:K236)</f>
        <v>57915.46</v>
      </c>
    </row>
    <row r="239" spans="1:11" ht="18" customHeight="1">
      <c r="A239" s="16" t="s">
        <v>306</v>
      </c>
      <c r="B239" s="16"/>
      <c r="C239" s="16"/>
      <c r="D239" s="16"/>
      <c r="E239" s="16"/>
      <c r="F239" s="16"/>
      <c r="G239" s="16"/>
      <c r="H239" s="16"/>
      <c r="I239" s="16"/>
      <c r="J239" s="16"/>
      <c r="K239" s="16"/>
    </row>
    <row r="240" spans="1:11" ht="18" customHeight="1">
      <c r="A240" s="16" t="s">
        <v>307</v>
      </c>
      <c r="B240" s="16"/>
      <c r="C240" s="16"/>
      <c r="D240" s="16"/>
      <c r="E240" s="16"/>
      <c r="F240" s="16"/>
      <c r="G240" s="16"/>
      <c r="H240" s="16"/>
      <c r="I240" s="16"/>
      <c r="J240" s="16"/>
      <c r="K240" s="17">
        <f>K226</f>
        <v>79396.39</v>
      </c>
    </row>
    <row r="241" spans="1:11" ht="18" customHeight="1">
      <c r="A241" s="16" t="s">
        <v>233</v>
      </c>
      <c r="B241" s="16"/>
      <c r="C241" s="16"/>
      <c r="D241" s="16"/>
      <c r="E241" s="16"/>
      <c r="F241" s="16"/>
      <c r="G241" s="16"/>
      <c r="H241" s="16"/>
      <c r="I241" s="16"/>
      <c r="J241" s="16"/>
      <c r="K241" s="17">
        <f>K227+K228+K229+K230+K231</f>
        <v>207611.71</v>
      </c>
    </row>
    <row r="242" spans="1:11" ht="18" customHeight="1">
      <c r="A242" s="16" t="s">
        <v>308</v>
      </c>
      <c r="B242" s="16"/>
      <c r="C242" s="16"/>
      <c r="D242" s="16"/>
      <c r="E242" s="16"/>
      <c r="F242" s="16"/>
      <c r="G242" s="16"/>
      <c r="H242" s="16"/>
      <c r="I242" s="16"/>
      <c r="J242" s="16"/>
      <c r="K242" s="18">
        <f>SUM(K240:K241)</f>
        <v>287008.09</v>
      </c>
    </row>
    <row r="243" spans="1:11" ht="30" customHeight="1">
      <c r="A243" s="19" t="s">
        <v>309</v>
      </c>
      <c r="B243" s="19"/>
      <c r="C243" s="19"/>
      <c r="D243" s="19"/>
      <c r="E243" s="19"/>
      <c r="F243" s="19"/>
      <c r="G243" s="19"/>
      <c r="H243" s="19"/>
      <c r="I243" s="19"/>
      <c r="J243" s="19"/>
      <c r="K243" s="19"/>
    </row>
    <row r="246" spans="1:11" ht="20" customHeight="1">
      <c r="A246" s="3" t="s">
        <v>325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spans="1:11" ht="18" customHeight="1">
      <c r="A247" s="4" t="s">
        <v>284</v>
      </c>
      <c r="B247" s="4" t="s">
        <v>285</v>
      </c>
      <c r="C247" s="4" t="s">
        <v>286</v>
      </c>
      <c r="D247" s="4" t="s">
        <v>287</v>
      </c>
      <c r="E247" s="4" t="s">
        <v>288</v>
      </c>
      <c r="F247" s="4" t="s">
        <v>289</v>
      </c>
      <c r="G247" s="4" t="s">
        <v>290</v>
      </c>
      <c r="H247" s="4" t="s">
        <v>291</v>
      </c>
      <c r="I247" s="4" t="s">
        <v>292</v>
      </c>
      <c r="J247" s="4" t="s">
        <v>293</v>
      </c>
      <c r="K247" s="4" t="s">
        <v>294</v>
      </c>
    </row>
    <row r="248" spans="1:11" ht="18" customHeight="1">
      <c r="A248" s="3" t="s">
        <v>295</v>
      </c>
    </row>
    <row r="249" spans="1:11" ht="18" customHeight="1">
      <c r="A249" s="14" t="s">
        <v>296</v>
      </c>
      <c r="B249" s="15">
        <f>B221*(1+$B$15)</f>
        <v>5817.48</v>
      </c>
      <c r="C249" s="15">
        <f>B249*12</f>
        <v>69809.77</v>
      </c>
      <c r="D249" s="15">
        <f>B249*$B$16</f>
        <v>11634.96</v>
      </c>
      <c r="E249" s="15">
        <f>C249*$B$17</f>
        <v>6282.88</v>
      </c>
      <c r="F249" s="15">
        <f>(C249+D249)*$B$18</f>
        <v>6784.35</v>
      </c>
      <c r="G249" s="15">
        <f>B249*$B$19</f>
        <v>2908.74</v>
      </c>
      <c r="H249" s="15">
        <f>0</f>
        <v>0.0</v>
      </c>
      <c r="I249" s="15">
        <f>B249*$B$20</f>
        <v>6787.06</v>
      </c>
      <c r="J249" s="15">
        <f>SUM(D249:I249)</f>
        <v>34397.99</v>
      </c>
      <c r="K249" s="15">
        <f>C249+J249</f>
        <v>104207.76</v>
      </c>
    </row>
    <row r="250" spans="1:11" ht="18" customHeight="1">
      <c r="A250" s="14" t="s">
        <v>297</v>
      </c>
      <c r="B250" s="15">
        <f>B222*(1+$B$15)</f>
        <v>1241.06</v>
      </c>
      <c r="C250" s="15">
        <f>B250*12</f>
        <v>14892.75</v>
      </c>
      <c r="D250" s="15">
        <f>B250*$B$16</f>
        <v>2482.13</v>
      </c>
      <c r="E250" s="15">
        <f>C250*$B$17</f>
        <v>1340.35</v>
      </c>
      <c r="F250" s="15">
        <f>(C250+D250)*$B$18</f>
        <v>1447.33</v>
      </c>
      <c r="G250" s="15">
        <f>B250*$B$19</f>
        <v>620.53</v>
      </c>
      <c r="H250" s="15">
        <f>0</f>
        <v>0.0</v>
      </c>
      <c r="I250" s="15">
        <f>B250*$B$20</f>
        <v>1447.91</v>
      </c>
      <c r="J250" s="15">
        <f>SUM(D250:I250)</f>
        <v>7338.24</v>
      </c>
      <c r="K250" s="15">
        <f>C250+J250</f>
        <v>22230.99</v>
      </c>
    </row>
    <row r="251" spans="1:11" ht="18" customHeight="1">
      <c r="A251" s="14" t="s">
        <v>317</v>
      </c>
      <c r="B251" s="15">
        <f>B223*(1+$B$15)</f>
        <v>1084.84</v>
      </c>
      <c r="C251" s="15">
        <f>B251*12</f>
        <v>13018.07</v>
      </c>
      <c r="D251" s="15">
        <f>B251*$B$16</f>
        <v>2169.68</v>
      </c>
      <c r="E251" s="15">
        <f>C251*$B$17</f>
        <v>1171.63</v>
      </c>
      <c r="F251" s="15">
        <f>(C251+D251)*$B$18</f>
        <v>1265.14</v>
      </c>
      <c r="G251" s="15">
        <f>B251*$B$19</f>
        <v>542.42</v>
      </c>
      <c r="H251" s="15">
        <f>0</f>
        <v>0.0</v>
      </c>
      <c r="I251" s="15">
        <f>B251*$B$20</f>
        <v>1265.65</v>
      </c>
      <c r="J251" s="15">
        <f>SUM(D251:I251)</f>
        <v>6414.51</v>
      </c>
      <c r="K251" s="15">
        <f>C251+J251</f>
        <v>19432.58</v>
      </c>
    </row>
    <row r="252" spans="1:11" ht="18" customHeight="1">
      <c r="A252" s="8" t="s">
        <v>298</v>
      </c>
      <c r="K252" s="8">
        <f>SUM(K249:K251)</f>
        <v>145871.33</v>
      </c>
    </row>
    <row r="253" spans="1:11" ht="18" customHeight="1">
      <c r="A253" s="3" t="s">
        <v>299</v>
      </c>
    </row>
    <row r="254" spans="1:11" ht="18" customHeight="1">
      <c r="A254" s="14" t="s">
        <v>300</v>
      </c>
      <c r="B254" s="15">
        <f>B226*(1+$B$15)</f>
        <v>4653.98</v>
      </c>
      <c r="C254" s="15">
        <f>B254*12</f>
        <v>55847.82</v>
      </c>
      <c r="D254" s="15">
        <f>B254*$B$16</f>
        <v>9307.97</v>
      </c>
      <c r="E254" s="15">
        <f>C254*$B$17</f>
        <v>5026.3</v>
      </c>
      <c r="F254" s="15">
        <f>(C254+D254)*$B$18</f>
        <v>5427.48</v>
      </c>
      <c r="G254" s="15">
        <f>B254*$B$19</f>
        <v>2326.99</v>
      </c>
      <c r="H254" s="15">
        <f>0</f>
        <v>0.0</v>
      </c>
      <c r="I254" s="15">
        <f>B254*$B$20</f>
        <v>5429.65</v>
      </c>
      <c r="J254" s="15">
        <f>SUM(D254:I254)</f>
        <v>27518.39</v>
      </c>
      <c r="K254" s="15">
        <f>C254+J254</f>
        <v>83366.21</v>
      </c>
    </row>
    <row r="255" spans="1:11" ht="18" customHeight="1">
      <c r="A255" s="14" t="s">
        <v>301</v>
      </c>
      <c r="B255" s="15">
        <f>B227*(1+$B$15)</f>
        <v>3490.49</v>
      </c>
      <c r="C255" s="15">
        <f>B255*12</f>
        <v>41885.86</v>
      </c>
      <c r="D255" s="15">
        <f>B255*$B$16</f>
        <v>6980.98</v>
      </c>
      <c r="E255" s="15">
        <f>C255*$B$17</f>
        <v>3769.73</v>
      </c>
      <c r="F255" s="15">
        <f>(C255+D255)*$B$18</f>
        <v>4070.61</v>
      </c>
      <c r="G255" s="15">
        <f>B255*$B$19</f>
        <v>1745.24</v>
      </c>
      <c r="H255" s="15">
        <f>0</f>
        <v>0.0</v>
      </c>
      <c r="I255" s="15">
        <f>B255*$B$20</f>
        <v>4072.24</v>
      </c>
      <c r="J255" s="15">
        <f>SUM(D255:I255)</f>
        <v>20638.79</v>
      </c>
      <c r="K255" s="15">
        <f>C255+J255</f>
        <v>62524.65</v>
      </c>
    </row>
    <row r="256" spans="1:11" ht="18" customHeight="1">
      <c r="A256" s="14" t="s">
        <v>311</v>
      </c>
      <c r="B256" s="15">
        <f>B228*(1+$B$15)</f>
        <v>3693.64</v>
      </c>
      <c r="C256" s="15">
        <f>B256*12</f>
        <v>44323.66</v>
      </c>
      <c r="D256" s="15">
        <f>B256*$B$16</f>
        <v>7387.28</v>
      </c>
      <c r="E256" s="15">
        <f>C256*$B$17</f>
        <v>3989.13</v>
      </c>
      <c r="F256" s="15">
        <f>(C256+D256)*$B$18</f>
        <v>4307.52</v>
      </c>
      <c r="G256" s="15">
        <f>B256*$B$19</f>
        <v>1846.82</v>
      </c>
      <c r="H256" s="15">
        <f>0</f>
        <v>0.0</v>
      </c>
      <c r="I256" s="15">
        <f>B256*$B$20</f>
        <v>4309.25</v>
      </c>
      <c r="J256" s="15">
        <f>SUM(D256:I256)</f>
        <v>21839.99</v>
      </c>
      <c r="K256" s="15">
        <f>C256+J256</f>
        <v>66163.66</v>
      </c>
    </row>
    <row r="257" spans="1:11" ht="18" customHeight="1">
      <c r="A257" s="14" t="s">
        <v>313</v>
      </c>
      <c r="B257" s="15">
        <f>B229*(1+$B$15)</f>
        <v>1196.04</v>
      </c>
      <c r="C257" s="15">
        <f>B257*12</f>
        <v>14352.42</v>
      </c>
      <c r="D257" s="15">
        <f>B257*$B$16</f>
        <v>2392.07</v>
      </c>
      <c r="E257" s="15">
        <f>C257*$B$17</f>
        <v>1291.72</v>
      </c>
      <c r="F257" s="15">
        <f>(C257+D257)*$B$18</f>
        <v>1394.82</v>
      </c>
      <c r="G257" s="15">
        <f>B257*$B$19</f>
        <v>598.02</v>
      </c>
      <c r="H257" s="15">
        <f>0</f>
        <v>0.0</v>
      </c>
      <c r="I257" s="15">
        <f>B257*$B$20</f>
        <v>1395.37</v>
      </c>
      <c r="J257" s="15">
        <f>SUM(D257:I257)</f>
        <v>7072.0</v>
      </c>
      <c r="K257" s="15">
        <f>C257+J257</f>
        <v>21424.42</v>
      </c>
    </row>
    <row r="258" spans="1:11" ht="18" customHeight="1">
      <c r="A258" s="14" t="s">
        <v>319</v>
      </c>
      <c r="B258" s="15">
        <f>B230*(1+$B$15)</f>
        <v>1033.18</v>
      </c>
      <c r="C258" s="15">
        <f>B258*12</f>
        <v>12398.16</v>
      </c>
      <c r="D258" s="15">
        <f>B258*$B$16</f>
        <v>2066.36</v>
      </c>
      <c r="E258" s="15">
        <f>C258*$B$17</f>
        <v>1115.83</v>
      </c>
      <c r="F258" s="15">
        <f>(C258+D258)*$B$18</f>
        <v>1204.89</v>
      </c>
      <c r="G258" s="15">
        <f>B258*$B$19</f>
        <v>516.59</v>
      </c>
      <c r="H258" s="15">
        <f>0</f>
        <v>0.0</v>
      </c>
      <c r="I258" s="15">
        <f>B258*$B$20</f>
        <v>1205.38</v>
      </c>
      <c r="J258" s="15">
        <f>SUM(D258:I258)</f>
        <v>6109.06</v>
      </c>
      <c r="K258" s="15">
        <f>C258+J258</f>
        <v>18507.22</v>
      </c>
    </row>
    <row r="259" spans="1:11" ht="18" customHeight="1">
      <c r="A259" s="14" t="s">
        <v>322</v>
      </c>
      <c r="B259" s="15">
        <f>B231*(1+$B$15)</f>
        <v>2756.25</v>
      </c>
      <c r="C259" s="15">
        <f>B259*12</f>
        <v>33075.0</v>
      </c>
      <c r="D259" s="15">
        <f>B259*$B$16</f>
        <v>5512.5</v>
      </c>
      <c r="E259" s="15">
        <f>C259*$B$17</f>
        <v>2976.75</v>
      </c>
      <c r="F259" s="15">
        <f>(C259+D259)*$B$18</f>
        <v>3214.34</v>
      </c>
      <c r="G259" s="15">
        <f>B259*$B$19</f>
        <v>1378.12</v>
      </c>
      <c r="H259" s="15">
        <f>0</f>
        <v>0.0</v>
      </c>
      <c r="I259" s="15">
        <f>B259*$B$20</f>
        <v>3215.62</v>
      </c>
      <c r="J259" s="15">
        <f>SUM(D259:I259)</f>
        <v>16297.34</v>
      </c>
      <c r="K259" s="15">
        <f>C259+J259</f>
        <v>49372.34</v>
      </c>
    </row>
    <row r="260" spans="1:11" ht="18" customHeight="1">
      <c r="A260" s="8" t="s">
        <v>302</v>
      </c>
      <c r="K260" s="8">
        <f>SUM(K254:K259)</f>
        <v>301358.5</v>
      </c>
    </row>
    <row r="261" spans="1:11" ht="18" customHeight="1">
      <c r="A261" s="3" t="s">
        <v>303</v>
      </c>
    </row>
    <row r="262" spans="1:11" ht="18" customHeight="1">
      <c r="A262" s="14" t="s">
        <v>304</v>
      </c>
      <c r="B262" s="15">
        <f>B234*(1+$B$15)</f>
        <v>1318.63</v>
      </c>
      <c r="C262" s="15">
        <f>B262*12</f>
        <v>15823.55</v>
      </c>
      <c r="D262" s="15">
        <f>B262*$B$16</f>
        <v>2637.26</v>
      </c>
      <c r="E262" s="15">
        <f>C262*$B$17</f>
        <v>1424.12</v>
      </c>
      <c r="F262" s="15">
        <f>(C262+D262)*$B$18</f>
        <v>1537.79</v>
      </c>
      <c r="G262" s="15">
        <f>B262*$B$19</f>
        <v>659.31</v>
      </c>
      <c r="H262" s="15">
        <f>0</f>
        <v>0.0</v>
      </c>
      <c r="I262" s="15">
        <f>B262*$B$20</f>
        <v>1538.4</v>
      </c>
      <c r="J262" s="15">
        <f>SUM(D262:I262)</f>
        <v>7796.88</v>
      </c>
      <c r="K262" s="15">
        <f>C262+J262</f>
        <v>23620.43</v>
      </c>
    </row>
    <row r="263" spans="1:11" ht="18" customHeight="1">
      <c r="A263" s="14" t="s">
        <v>315</v>
      </c>
      <c r="B263" s="15">
        <f>B235*(1+$B$15)</f>
        <v>1139.08</v>
      </c>
      <c r="C263" s="15">
        <f>B263*12</f>
        <v>13668.98</v>
      </c>
      <c r="D263" s="15">
        <f>B263*$B$16</f>
        <v>2278.16</v>
      </c>
      <c r="E263" s="15">
        <f>C263*$B$17</f>
        <v>1230.21</v>
      </c>
      <c r="F263" s="15">
        <f>(C263+D263)*$B$18</f>
        <v>1328.4</v>
      </c>
      <c r="G263" s="15">
        <f>B263*$B$19</f>
        <v>569.54</v>
      </c>
      <c r="H263" s="15">
        <f>0</f>
        <v>0.0</v>
      </c>
      <c r="I263" s="15">
        <f>B263*$B$20</f>
        <v>1328.93</v>
      </c>
      <c r="J263" s="15">
        <f>SUM(D263:I263)</f>
        <v>6735.24</v>
      </c>
      <c r="K263" s="15">
        <f>C263+J263</f>
        <v>20404.21</v>
      </c>
    </row>
    <row r="264" spans="1:11" ht="18" customHeight="1">
      <c r="A264" s="14" t="s">
        <v>323</v>
      </c>
      <c r="B264" s="15">
        <f>B236*(1+$B$15)</f>
        <v>937.12</v>
      </c>
      <c r="C264" s="15">
        <f>B264*12</f>
        <v>11245.5</v>
      </c>
      <c r="D264" s="15">
        <f>B264*$B$16</f>
        <v>1874.25</v>
      </c>
      <c r="E264" s="15">
        <f>C264*$B$17</f>
        <v>1012.09</v>
      </c>
      <c r="F264" s="15">
        <f>(C264+D264)*$B$18</f>
        <v>1092.88</v>
      </c>
      <c r="G264" s="15">
        <f>B264*$B$19</f>
        <v>468.56</v>
      </c>
      <c r="H264" s="15">
        <f>0</f>
        <v>0.0</v>
      </c>
      <c r="I264" s="15">
        <f>B264*$B$20</f>
        <v>1093.31</v>
      </c>
      <c r="J264" s="15">
        <f>SUM(D264:I264)</f>
        <v>5541.1</v>
      </c>
      <c r="K264" s="15">
        <f>C264+J264</f>
        <v>16786.6</v>
      </c>
    </row>
    <row r="265" spans="1:11" ht="18" customHeight="1">
      <c r="A265" s="8" t="s">
        <v>305</v>
      </c>
      <c r="K265" s="8">
        <f>SUM(K262:K264)</f>
        <v>60811.23</v>
      </c>
    </row>
    <row r="267" spans="1:11" ht="18" customHeight="1">
      <c r="A267" s="16" t="s">
        <v>306</v>
      </c>
      <c r="B267" s="16"/>
      <c r="C267" s="16"/>
      <c r="D267" s="16"/>
      <c r="E267" s="16"/>
      <c r="F267" s="16"/>
      <c r="G267" s="16"/>
      <c r="H267" s="16"/>
      <c r="I267" s="16"/>
      <c r="J267" s="16"/>
      <c r="K267" s="16"/>
    </row>
    <row r="268" spans="1:11" ht="18" customHeight="1">
      <c r="A268" s="16" t="s">
        <v>307</v>
      </c>
      <c r="B268" s="16"/>
      <c r="C268" s="16"/>
      <c r="D268" s="16"/>
      <c r="E268" s="16"/>
      <c r="F268" s="16"/>
      <c r="G268" s="16"/>
      <c r="H268" s="16"/>
      <c r="I268" s="16"/>
      <c r="J268" s="16"/>
      <c r="K268" s="17">
        <f>K254</f>
        <v>83366.21</v>
      </c>
    </row>
    <row r="269" spans="1:11" ht="18" customHeight="1">
      <c r="A269" s="16" t="s">
        <v>233</v>
      </c>
      <c r="B269" s="16"/>
      <c r="C269" s="16"/>
      <c r="D269" s="16"/>
      <c r="E269" s="16"/>
      <c r="F269" s="16"/>
      <c r="G269" s="16"/>
      <c r="H269" s="16"/>
      <c r="I269" s="16"/>
      <c r="J269" s="16"/>
      <c r="K269" s="17">
        <f>K255+K256+K257+K258+K259</f>
        <v>217992.29</v>
      </c>
    </row>
    <row r="270" spans="1:11" ht="18" customHeight="1">
      <c r="A270" s="16" t="s">
        <v>308</v>
      </c>
      <c r="B270" s="16"/>
      <c r="C270" s="16"/>
      <c r="D270" s="16"/>
      <c r="E270" s="16"/>
      <c r="F270" s="16"/>
      <c r="G270" s="16"/>
      <c r="H270" s="16"/>
      <c r="I270" s="16"/>
      <c r="J270" s="16"/>
      <c r="K270" s="18">
        <f>SUM(K268:K269)</f>
        <v>301358.5</v>
      </c>
    </row>
    <row r="271" spans="1:11" ht="30" customHeight="1">
      <c r="A271" s="19" t="s">
        <v>309</v>
      </c>
      <c r="B271" s="19"/>
      <c r="C271" s="19"/>
      <c r="D271" s="19"/>
      <c r="E271" s="19"/>
      <c r="F271" s="19"/>
      <c r="G271" s="19"/>
      <c r="H271" s="19"/>
      <c r="I271" s="19"/>
      <c r="J271" s="19"/>
      <c r="K271" s="19"/>
    </row>
  </sheetData>
  <mergeCells count="63">
    <mergeCell ref="A1:L1"/>
    <mergeCell ref="A3:K3"/>
    <mergeCell ref="A13:K13"/>
    <mergeCell ref="A23:K23"/>
    <mergeCell ref="A37:K37"/>
    <mergeCell ref="A38:J38"/>
    <mergeCell ref="A39:J39"/>
    <mergeCell ref="A40:J40"/>
    <mergeCell ref="A41:K41"/>
    <mergeCell ref="A44:K44"/>
    <mergeCell ref="A59:K59"/>
    <mergeCell ref="A60:J60"/>
    <mergeCell ref="A61:J61"/>
    <mergeCell ref="A62:J62"/>
    <mergeCell ref="A63:K63"/>
    <mergeCell ref="A66:K66"/>
    <mergeCell ref="A82:K82"/>
    <mergeCell ref="A83:J83"/>
    <mergeCell ref="A84:J84"/>
    <mergeCell ref="A85:J85"/>
    <mergeCell ref="A86:K86"/>
    <mergeCell ref="A89:K89"/>
    <mergeCell ref="A106:K106"/>
    <mergeCell ref="A107:J107"/>
    <mergeCell ref="A108:J108"/>
    <mergeCell ref="A109:J109"/>
    <mergeCell ref="A110:K110"/>
    <mergeCell ref="A113:K113"/>
    <mergeCell ref="A131:K131"/>
    <mergeCell ref="A132:J132"/>
    <mergeCell ref="A133:J133"/>
    <mergeCell ref="A134:J134"/>
    <mergeCell ref="A135:K135"/>
    <mergeCell ref="A138:K138"/>
    <mergeCell ref="A157:K157"/>
    <mergeCell ref="A158:J158"/>
    <mergeCell ref="A159:J159"/>
    <mergeCell ref="A160:J160"/>
    <mergeCell ref="A161:K161"/>
    <mergeCell ref="A164:K164"/>
    <mergeCell ref="A183:K183"/>
    <mergeCell ref="A184:J184"/>
    <mergeCell ref="A185:J185"/>
    <mergeCell ref="A186:J186"/>
    <mergeCell ref="A187:K187"/>
    <mergeCell ref="A190:K190"/>
    <mergeCell ref="A211:K211"/>
    <mergeCell ref="A212:J212"/>
    <mergeCell ref="A213:J213"/>
    <mergeCell ref="A214:J214"/>
    <mergeCell ref="A215:K215"/>
    <mergeCell ref="A218:K218"/>
    <mergeCell ref="A239:K239"/>
    <mergeCell ref="A240:J240"/>
    <mergeCell ref="A241:J241"/>
    <mergeCell ref="A242:J242"/>
    <mergeCell ref="A243:K243"/>
    <mergeCell ref="A246:K246"/>
    <mergeCell ref="A267:K267"/>
    <mergeCell ref="A268:J268"/>
    <mergeCell ref="A269:J269"/>
    <mergeCell ref="A270:J270"/>
    <mergeCell ref="A271:K271"/>
  </mergeCells>
  <pageMargins left="0.25" right="0.25" top="0.35" bottom="0.3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M60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3" width="13.28515625" customWidth="1"/>
  </cols>
  <sheetData>
    <row r="1" spans="1:13" ht="22" customHeight="1">
      <c r="A1" s="1" t="s">
        <v>326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 ht="20" customHeight="1">
      <c r="A3" s="3" t="s">
        <v>327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3" ht="20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spans="1:13" ht="18" customHeight="1">
      <c r="A5" s="5" t="s">
        <v>328</v>
      </c>
      <c r="B5" s="9">
        <f>'PLANILLA'!B7</f>
        <v>15225.94</v>
      </c>
      <c r="C5" s="9">
        <f>'PLANILLA'!C7</f>
        <v>15987.23</v>
      </c>
      <c r="D5" s="9">
        <f>'PLANILLA'!D7</f>
        <v>16786.6</v>
      </c>
      <c r="E5" s="9">
        <f>'PLANILLA'!E7</f>
        <v>32851.86</v>
      </c>
      <c r="F5" s="9">
        <f>'PLANILLA'!F7</f>
        <v>34494.45</v>
      </c>
      <c r="G5" s="9">
        <f>'PLANILLA'!G7</f>
        <v>36219.18</v>
      </c>
      <c r="H5" s="9">
        <f>'PLANILLA'!H7</f>
        <v>38030.14</v>
      </c>
      <c r="I5" s="9">
        <f>'PLANILLA'!I7</f>
        <v>55157.58</v>
      </c>
      <c r="J5" s="9">
        <f>'PLANILLA'!J7</f>
        <v>57915.46</v>
      </c>
      <c r="K5" s="9">
        <f>'PLANILLA'!K7</f>
        <v>60811.23</v>
      </c>
    </row>
    <row r="6" spans="1:13" ht="18" customHeight="1">
      <c r="A6" s="5" t="s">
        <v>329</v>
      </c>
      <c r="B6" s="9">
        <f>'INGRESOS'!B19*$B$59</f>
        <v>13548.0</v>
      </c>
      <c r="C6" s="9">
        <f>'INGRESOS'!C19*$B$59</f>
        <v>17168.04</v>
      </c>
      <c r="D6" s="9">
        <f>'INGRESOS'!D19*$B$59</f>
        <v>21329.18</v>
      </c>
      <c r="E6" s="9">
        <f>'INGRESOS'!E19*$B$59</f>
        <v>25575.06</v>
      </c>
      <c r="F6" s="9">
        <f>'INGRESOS'!F19*$B$59</f>
        <v>26422.67</v>
      </c>
      <c r="G6" s="9">
        <f>'INGRESOS'!G19*$B$59</f>
        <v>39966.14</v>
      </c>
      <c r="H6" s="9">
        <f>'INGRESOS'!H19*$B$59</f>
        <v>42996.05</v>
      </c>
      <c r="I6" s="9">
        <f>'INGRESOS'!I19*$B$59</f>
        <v>45335.04</v>
      </c>
      <c r="J6" s="9">
        <f>'INGRESOS'!J19*$B$59</f>
        <v>59995.17</v>
      </c>
      <c r="K6" s="9">
        <f>'INGRESOS'!K19*$B$59</f>
        <v>64250.25</v>
      </c>
    </row>
    <row r="7" spans="1:13" ht="18" customHeight="1">
      <c r="A7" s="5" t="s">
        <v>330</v>
      </c>
      <c r="B7" s="9">
        <f>B32</f>
        <v>16000.0</v>
      </c>
      <c r="C7" s="9">
        <f>C32</f>
        <v>16640.0</v>
      </c>
      <c r="D7" s="9">
        <f>D32</f>
        <v>17305.6</v>
      </c>
      <c r="E7" s="9">
        <f>E32</f>
        <v>17997.82</v>
      </c>
      <c r="F7" s="9">
        <f>F32</f>
        <v>18717.74</v>
      </c>
      <c r="G7" s="9">
        <f>G32</f>
        <v>19466.45</v>
      </c>
      <c r="H7" s="9">
        <f>H32</f>
        <v>20245.1</v>
      </c>
      <c r="I7" s="9">
        <f>I32</f>
        <v>21054.91</v>
      </c>
      <c r="J7" s="9">
        <f>J32</f>
        <v>21897.1</v>
      </c>
      <c r="K7" s="9">
        <f>K32</f>
        <v>22772.99</v>
      </c>
    </row>
    <row r="8" spans="1:13" ht="18" customHeight="1">
      <c r="A8" s="8" t="s">
        <v>331</v>
      </c>
      <c r="B8" s="8">
        <f>SUM(B5,B6,B7)</f>
        <v>44773.94</v>
      </c>
      <c r="C8" s="8">
        <f>SUM(C5,C6,C7)</f>
        <v>49795.27</v>
      </c>
      <c r="D8" s="8">
        <f>SUM(D5,D6,D7)</f>
        <v>55421.38</v>
      </c>
      <c r="E8" s="8">
        <f>SUM(E5,E6,E7)</f>
        <v>76424.74</v>
      </c>
      <c r="F8" s="8">
        <f>SUM(F5,F6,F7)</f>
        <v>79634.86</v>
      </c>
      <c r="G8" s="8">
        <f>SUM(G5,G6,G7)</f>
        <v>95651.77</v>
      </c>
      <c r="H8" s="8">
        <f>SUM(H5,H6,H7)</f>
        <v>101271.29</v>
      </c>
      <c r="I8" s="8">
        <f>SUM(I5,I6,I7)</f>
        <v>121547.53</v>
      </c>
      <c r="J8" s="8">
        <f>SUM(J5,J6,J7)</f>
        <v>139807.73</v>
      </c>
      <c r="K8" s="8">
        <f>SUM(K5,K6,K7)</f>
        <v>147834.47</v>
      </c>
    </row>
    <row r="10" spans="1:13" ht="20" customHeight="1">
      <c r="A10" s="3" t="s">
        <v>332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3" ht="20" customHeight="1">
      <c r="A11" s="4" t="s">
        <v>3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  <c r="I11" s="4" t="s">
        <v>11</v>
      </c>
      <c r="J11" s="4" t="s">
        <v>12</v>
      </c>
      <c r="K11" s="4" t="s">
        <v>13</v>
      </c>
    </row>
    <row r="12" spans="1:13" ht="18" customHeight="1">
      <c r="A12" s="5" t="s">
        <v>333</v>
      </c>
      <c r="B12" s="9">
        <f>'PLANILLA'!B5</f>
        <v>81503.54</v>
      </c>
      <c r="C12" s="9">
        <f>'PLANILLA'!C5</f>
        <v>85578.72</v>
      </c>
      <c r="D12" s="9">
        <f>'PLANILLA'!D5</f>
        <v>89857.66</v>
      </c>
      <c r="E12" s="9">
        <f>'PLANILLA'!E5</f>
        <v>94350.54</v>
      </c>
      <c r="F12" s="9">
        <f>'PLANILLA'!F5</f>
        <v>114294.0</v>
      </c>
      <c r="G12" s="9">
        <f>'PLANILLA'!G5</f>
        <v>120008.7</v>
      </c>
      <c r="H12" s="9">
        <f>'PLANILLA'!H5</f>
        <v>126009.14</v>
      </c>
      <c r="I12" s="9">
        <f>'PLANILLA'!I5</f>
        <v>132309.6</v>
      </c>
      <c r="J12" s="9">
        <f>'PLANILLA'!J5</f>
        <v>138925.07</v>
      </c>
      <c r="K12" s="9">
        <f>'PLANILLA'!K5</f>
        <v>145871.33</v>
      </c>
    </row>
    <row r="13" spans="1:13" ht="18" customHeight="1">
      <c r="A13" s="5" t="s">
        <v>334</v>
      </c>
      <c r="B13" s="9">
        <f>B41</f>
        <v>16000.0</v>
      </c>
      <c r="C13" s="9">
        <f>C41</f>
        <v>16640.0</v>
      </c>
      <c r="D13" s="9">
        <f>D41</f>
        <v>17305.6</v>
      </c>
      <c r="E13" s="9">
        <f>E41</f>
        <v>17997.82</v>
      </c>
      <c r="F13" s="9">
        <f>F41</f>
        <v>18717.74</v>
      </c>
      <c r="G13" s="9">
        <f>G41</f>
        <v>19466.45</v>
      </c>
      <c r="H13" s="9">
        <f>H41</f>
        <v>20245.1</v>
      </c>
      <c r="I13" s="9">
        <f>I41</f>
        <v>21054.91</v>
      </c>
      <c r="J13" s="9">
        <f>J41</f>
        <v>21897.1</v>
      </c>
      <c r="K13" s="9">
        <f>K41</f>
        <v>22772.99</v>
      </c>
    </row>
    <row r="14" spans="1:13" ht="18" customHeight="1">
      <c r="A14" s="5" t="s">
        <v>335</v>
      </c>
      <c r="B14" s="9">
        <f>B44</f>
        <v>35983.2</v>
      </c>
      <c r="C14" s="9">
        <f>C44</f>
        <v>35983.2</v>
      </c>
      <c r="D14" s="9">
        <f>D44</f>
        <v>35983.2</v>
      </c>
      <c r="E14" s="9">
        <f>E44</f>
        <v>35983.2</v>
      </c>
      <c r="F14" s="9">
        <f>F44</f>
        <v>31231.2</v>
      </c>
      <c r="G14" s="9">
        <f>G44</f>
        <v>712.8</v>
      </c>
      <c r="H14" s="9">
        <f>H44</f>
        <v>712.8</v>
      </c>
      <c r="I14" s="9">
        <f>I44</f>
        <v>712.8</v>
      </c>
      <c r="J14" s="9">
        <f>J44</f>
        <v>712.8</v>
      </c>
      <c r="K14" s="9">
        <f>K44</f>
        <v>712.8</v>
      </c>
    </row>
    <row r="15" spans="1:13" ht="18" customHeight="1">
      <c r="A15" s="8" t="s">
        <v>336</v>
      </c>
      <c r="B15" s="8">
        <f>SUM(B12,B13,B14)</f>
        <v>133486.74</v>
      </c>
      <c r="C15" s="8">
        <f>SUM(C12,C13,C14)</f>
        <v>138201.92</v>
      </c>
      <c r="D15" s="8">
        <f>SUM(D12,D13,D14)</f>
        <v>143146.46</v>
      </c>
      <c r="E15" s="8">
        <f>SUM(E12,E13,E14)</f>
        <v>148331.56</v>
      </c>
      <c r="F15" s="8">
        <f>SUM(F12,F13,F14)</f>
        <v>164242.94</v>
      </c>
      <c r="G15" s="8">
        <f>SUM(G12,G13,G14)</f>
        <v>140187.95</v>
      </c>
      <c r="H15" s="8">
        <f>SUM(H12,H13,H14)</f>
        <v>146967.04</v>
      </c>
      <c r="I15" s="8">
        <f>SUM(I12,I13,I14)</f>
        <v>154077.3</v>
      </c>
      <c r="J15" s="8">
        <f>SUM(J12,J13,J14)</f>
        <v>161534.98</v>
      </c>
      <c r="K15" s="8">
        <f>SUM(K12,K13,K14)</f>
        <v>169357.12</v>
      </c>
    </row>
    <row r="17" spans="1:11" ht="20" customHeight="1">
      <c r="A17" s="3" t="s">
        <v>337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ht="20" customHeight="1">
      <c r="A18" s="4" t="s">
        <v>3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  <c r="J18" s="4" t="s">
        <v>12</v>
      </c>
      <c r="K18" s="4" t="s">
        <v>13</v>
      </c>
    </row>
    <row r="19" spans="1:11" ht="18" customHeight="1">
      <c r="A19" s="5" t="s">
        <v>338</v>
      </c>
      <c r="B19" s="9">
        <f>$B$48</f>
        <v>180000.0</v>
      </c>
      <c r="C19" s="9">
        <f>B23</f>
        <v>180000.0</v>
      </c>
      <c r="D19" s="9">
        <f>C23</f>
        <v>180000.0</v>
      </c>
      <c r="E19" s="9">
        <f>D23</f>
        <v>160936.18</v>
      </c>
      <c r="F19" s="9">
        <f>E23</f>
        <v>138440.87</v>
      </c>
      <c r="G19" s="9">
        <f>F23</f>
        <v>111896.4</v>
      </c>
      <c r="H19" s="9">
        <f>G23</f>
        <v>80573.93</v>
      </c>
      <c r="I19" s="9">
        <f>H23</f>
        <v>43613.41</v>
      </c>
      <c r="J19" s="9">
        <f>I23</f>
        <v>0.0</v>
      </c>
      <c r="K19" s="9">
        <f>J23</f>
        <v>0.0</v>
      </c>
    </row>
    <row r="20" spans="1:11" ht="18" customHeight="1">
      <c r="A20" s="5" t="s">
        <v>339</v>
      </c>
      <c r="B20" s="9">
        <f>B19*$B$49</f>
        <v>32400.0</v>
      </c>
      <c r="C20" s="9">
        <f>C19*$B$49</f>
        <v>32400.0</v>
      </c>
      <c r="D20" s="9">
        <f>D19*$B$49</f>
        <v>32400.0</v>
      </c>
      <c r="E20" s="9">
        <f>E19*$B$49</f>
        <v>28968.51</v>
      </c>
      <c r="F20" s="9">
        <f>F19*$B$49</f>
        <v>24919.36</v>
      </c>
      <c r="G20" s="9">
        <f>G19*$B$49</f>
        <v>20141.35</v>
      </c>
      <c r="H20" s="9">
        <f>H19*$B$49</f>
        <v>14503.31</v>
      </c>
      <c r="I20" s="9">
        <f>I19*$B$49</f>
        <v>7850.41</v>
      </c>
      <c r="J20" s="9">
        <f>J19*$B$49</f>
        <v>0.0</v>
      </c>
      <c r="K20" s="9">
        <f>K19*$B$49</f>
        <v>0.0</v>
      </c>
    </row>
    <row r="21" spans="1:11" ht="18" customHeight="1">
      <c r="A21" s="5" t="s">
        <v>340</v>
      </c>
      <c r="B21" s="9">
        <f>IF(COLUMN(B1)-COLUMN($B$1)+1&lt;=$B$50,0,IF(COLUMN(B1)-COLUMN($B$1)+1&lt;=$B$50+$B$51,MIN(PMT($B$49,$B$51,-$B$48)-B20,B19),0))</f>
        <v>0.0</v>
      </c>
      <c r="C21" s="9">
        <f>IF(COLUMN(C1)-COLUMN($B$1)+1&lt;=$B$50,0,IF(COLUMN(C1)-COLUMN($B$1)+1&lt;=$B$50+$B$51,MIN(PMT($B$49,$B$51,-$B$48)-C20,C19),0))</f>
        <v>0.0</v>
      </c>
      <c r="D21" s="9">
        <f>IF(COLUMN(D1)-COLUMN($B$1)+1&lt;=$B$50,0,IF(COLUMN(D1)-COLUMN($B$1)+1&lt;=$B$50+$B$51,MIN(PMT($B$49,$B$51,-$B$48)-D20,D19),0))</f>
        <v>19063.82</v>
      </c>
      <c r="E21" s="9">
        <f>IF(COLUMN(E1)-COLUMN($B$1)+1&lt;=$B$50,0,IF(COLUMN(E1)-COLUMN($B$1)+1&lt;=$B$50+$B$51,MIN(PMT($B$49,$B$51,-$B$48)-E20,E19),0))</f>
        <v>22495.31</v>
      </c>
      <c r="F21" s="9">
        <f>IF(COLUMN(F1)-COLUMN($B$1)+1&lt;=$B$50,0,IF(COLUMN(F1)-COLUMN($B$1)+1&lt;=$B$50+$B$51,MIN(PMT($B$49,$B$51,-$B$48)-F20,F19),0))</f>
        <v>26544.47</v>
      </c>
      <c r="G21" s="9">
        <f>IF(COLUMN(G1)-COLUMN($B$1)+1&lt;=$B$50,0,IF(COLUMN(G1)-COLUMN($B$1)+1&lt;=$B$50+$B$51,MIN(PMT($B$49,$B$51,-$B$48)-G20,G19),0))</f>
        <v>31322.47</v>
      </c>
      <c r="H21" s="9">
        <f>IF(COLUMN(H1)-COLUMN($B$1)+1&lt;=$B$50,0,IF(COLUMN(H1)-COLUMN($B$1)+1&lt;=$B$50+$B$51,MIN(PMT($B$49,$B$51,-$B$48)-H20,H19),0))</f>
        <v>36960.52</v>
      </c>
      <c r="I21" s="9">
        <f>IF(COLUMN(I1)-COLUMN($B$1)+1&lt;=$B$50,0,IF(COLUMN(I1)-COLUMN($B$1)+1&lt;=$B$50+$B$51,MIN(PMT($B$49,$B$51,-$B$48)-I20,I19),0))</f>
        <v>43613.41</v>
      </c>
      <c r="J21" s="9">
        <f>IF(COLUMN(J1)-COLUMN($B$1)+1&lt;=$B$50,0,IF(COLUMN(J1)-COLUMN($B$1)+1&lt;=$B$50+$B$51,MIN(PMT($B$49,$B$51,-$B$48)-J20,J19),0))</f>
        <v>0.0</v>
      </c>
      <c r="K21" s="9">
        <f>IF(COLUMN(K1)-COLUMN($B$1)+1&lt;=$B$50,0,IF(COLUMN(K1)-COLUMN($B$1)+1&lt;=$B$50+$B$51,MIN(PMT($B$49,$B$51,-$B$48)-K20,K19),0))</f>
        <v>0.0</v>
      </c>
    </row>
    <row r="22" spans="1:11" ht="18" customHeight="1">
      <c r="A22" s="8" t="s">
        <v>341</v>
      </c>
      <c r="B22" s="8">
        <f>SUM(B20,B21)</f>
        <v>32400.0</v>
      </c>
      <c r="C22" s="8">
        <f>SUM(C20,C21)</f>
        <v>32400.0</v>
      </c>
      <c r="D22" s="8">
        <f>SUM(D20,D21)</f>
        <v>51463.82</v>
      </c>
      <c r="E22" s="8">
        <f>SUM(E20,E21)</f>
        <v>51463.82</v>
      </c>
      <c r="F22" s="8">
        <f>SUM(F20,F21)</f>
        <v>51463.82</v>
      </c>
      <c r="G22" s="8">
        <f>SUM(G20,G21)</f>
        <v>51463.82</v>
      </c>
      <c r="H22" s="8">
        <f>SUM(H20,H21)</f>
        <v>51463.82</v>
      </c>
      <c r="I22" s="8">
        <f>SUM(I20,I21)</f>
        <v>51463.82</v>
      </c>
      <c r="J22" s="8">
        <f>SUM(J20,J21)</f>
        <v>0.0</v>
      </c>
      <c r="K22" s="8">
        <f>SUM(K20,K21)</f>
        <v>0.0</v>
      </c>
    </row>
    <row r="23" spans="1:11" ht="18" customHeight="1">
      <c r="A23" s="5" t="s">
        <v>342</v>
      </c>
      <c r="B23" s="9">
        <f>MAX(0,B19-B21)</f>
        <v>180000.0</v>
      </c>
      <c r="C23" s="9">
        <f>MAX(0,C19-C21)</f>
        <v>180000.0</v>
      </c>
      <c r="D23" s="9">
        <f>MAX(0,D19-D21)</f>
        <v>160936.18</v>
      </c>
      <c r="E23" s="9">
        <f>MAX(0,E19-E21)</f>
        <v>138440.87</v>
      </c>
      <c r="F23" s="9">
        <f>MAX(0,F19-F21)</f>
        <v>111896.4</v>
      </c>
      <c r="G23" s="9">
        <f>MAX(0,G19-G21)</f>
        <v>80573.93</v>
      </c>
      <c r="H23" s="9">
        <f>MAX(0,H19-H21)</f>
        <v>43613.41</v>
      </c>
      <c r="I23" s="9">
        <f>MAX(0,I19-I21)</f>
        <v>0.0</v>
      </c>
      <c r="J23" s="9">
        <f>MAX(0,J19-J21)</f>
        <v>0.0</v>
      </c>
      <c r="K23" s="9">
        <f>MAX(0,K19-K21)</f>
        <v>0.0</v>
      </c>
    </row>
    <row r="25" spans="1:11" ht="18" customHeight="1">
      <c r="A25" s="13" t="s">
        <v>343</v>
      </c>
    </row>
    <row r="27" spans="1:11" ht="20" customHeight="1">
      <c r="A27" s="3" t="s">
        <v>344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20" customHeight="1">
      <c r="A28" s="4" t="s">
        <v>3</v>
      </c>
      <c r="B28" s="4" t="s">
        <v>4</v>
      </c>
      <c r="C28" s="4" t="s">
        <v>5</v>
      </c>
      <c r="D28" s="4" t="s">
        <v>6</v>
      </c>
      <c r="E28" s="4" t="s">
        <v>7</v>
      </c>
      <c r="F28" s="4" t="s">
        <v>8</v>
      </c>
      <c r="G28" s="4" t="s">
        <v>9</v>
      </c>
      <c r="H28" s="4" t="s">
        <v>10</v>
      </c>
      <c r="I28" s="4" t="s">
        <v>11</v>
      </c>
      <c r="J28" s="4" t="s">
        <v>12</v>
      </c>
      <c r="K28" s="4" t="s">
        <v>13</v>
      </c>
    </row>
    <row r="29" spans="1:11" ht="18" customHeight="1">
      <c r="A29" s="5" t="s">
        <v>345</v>
      </c>
      <c r="B29" s="9">
        <v>6000</v>
      </c>
      <c r="C29" s="9">
        <f>B29*(1+$B$60)</f>
        <v>6240.0</v>
      </c>
      <c r="D29" s="9">
        <f>C29*(1+$B$60)</f>
        <v>6489.6</v>
      </c>
      <c r="E29" s="9">
        <f>D29*(1+$B$60)</f>
        <v>6749.18</v>
      </c>
      <c r="F29" s="9">
        <f>E29*(1+$B$60)</f>
        <v>7019.15</v>
      </c>
      <c r="G29" s="9">
        <f>F29*(1+$B$60)</f>
        <v>7299.92</v>
      </c>
      <c r="H29" s="9">
        <f>G29*(1+$B$60)</f>
        <v>7591.91</v>
      </c>
      <c r="I29" s="9">
        <f>H29*(1+$B$60)</f>
        <v>7895.59</v>
      </c>
      <c r="J29" s="9">
        <f>I29*(1+$B$60)</f>
        <v>8211.41</v>
      </c>
      <c r="K29" s="9">
        <f>J29*(1+$B$60)</f>
        <v>8539.87</v>
      </c>
    </row>
    <row r="30" spans="1:11" ht="18" customHeight="1">
      <c r="A30" s="5" t="s">
        <v>346</v>
      </c>
      <c r="B30" s="9">
        <v>5000</v>
      </c>
      <c r="C30" s="9">
        <f>B30*(1+$B$60)</f>
        <v>5200.0</v>
      </c>
      <c r="D30" s="9">
        <f>C30*(1+$B$60)</f>
        <v>5408.0</v>
      </c>
      <c r="E30" s="9">
        <f>D30*(1+$B$60)</f>
        <v>5624.32</v>
      </c>
      <c r="F30" s="9">
        <f>E30*(1+$B$60)</f>
        <v>5849.29</v>
      </c>
      <c r="G30" s="9">
        <f>F30*(1+$B$60)</f>
        <v>6083.26</v>
      </c>
      <c r="H30" s="9">
        <f>G30*(1+$B$60)</f>
        <v>6326.6</v>
      </c>
      <c r="I30" s="9">
        <f>H30*(1+$B$60)</f>
        <v>6579.66</v>
      </c>
      <c r="J30" s="9">
        <f>I30*(1+$B$60)</f>
        <v>6842.85</v>
      </c>
      <c r="K30" s="9">
        <f>J30*(1+$B$60)</f>
        <v>7116.56</v>
      </c>
    </row>
    <row r="31" spans="1:11" ht="18" customHeight="1">
      <c r="A31" s="5" t="s">
        <v>347</v>
      </c>
      <c r="B31" s="9">
        <v>5000</v>
      </c>
      <c r="C31" s="9">
        <f>B31*(1+$B$60)</f>
        <v>5200.0</v>
      </c>
      <c r="D31" s="9">
        <f>C31*(1+$B$60)</f>
        <v>5408.0</v>
      </c>
      <c r="E31" s="9">
        <f>D31*(1+$B$60)</f>
        <v>5624.32</v>
      </c>
      <c r="F31" s="9">
        <f>E31*(1+$B$60)</f>
        <v>5849.29</v>
      </c>
      <c r="G31" s="9">
        <f>F31*(1+$B$60)</f>
        <v>6083.26</v>
      </c>
      <c r="H31" s="9">
        <f>G31*(1+$B$60)</f>
        <v>6326.6</v>
      </c>
      <c r="I31" s="9">
        <f>H31*(1+$B$60)</f>
        <v>6579.66</v>
      </c>
      <c r="J31" s="9">
        <f>I31*(1+$B$60)</f>
        <v>6842.85</v>
      </c>
      <c r="K31" s="9">
        <f>J31*(1+$B$60)</f>
        <v>7116.56</v>
      </c>
    </row>
    <row r="32" spans="1:11" ht="18" customHeight="1">
      <c r="A32" s="8" t="s">
        <v>348</v>
      </c>
      <c r="B32" s="8">
        <f>SUM(B29,B30,B31)</f>
        <v>16000.0</v>
      </c>
      <c r="C32" s="8">
        <f>SUM(C29,C30,C31)</f>
        <v>16640.0</v>
      </c>
      <c r="D32" s="8">
        <f>SUM(D29,D30,D31)</f>
        <v>17305.6</v>
      </c>
      <c r="E32" s="8">
        <f>SUM(E29,E30,E31)</f>
        <v>17997.82</v>
      </c>
      <c r="F32" s="8">
        <f>SUM(F29,F30,F31)</f>
        <v>18717.74</v>
      </c>
      <c r="G32" s="8">
        <f>SUM(G29,G30,G31)</f>
        <v>19466.45</v>
      </c>
      <c r="H32" s="8">
        <f>SUM(H29,H30,H31)</f>
        <v>20245.1</v>
      </c>
      <c r="I32" s="8">
        <f>SUM(I29,I30,I31)</f>
        <v>21054.91</v>
      </c>
      <c r="J32" s="8">
        <f>SUM(J29,J30,J31)</f>
        <v>21897.1</v>
      </c>
      <c r="K32" s="8">
        <f>SUM(K29,K30,K31)</f>
        <v>22772.99</v>
      </c>
    </row>
    <row r="34" spans="1:11" ht="20" customHeight="1">
      <c r="A34" s="3" t="s">
        <v>349</v>
      </c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 ht="20" customHeight="1">
      <c r="A35" s="4" t="s">
        <v>3</v>
      </c>
      <c r="B35" s="4" t="s">
        <v>4</v>
      </c>
      <c r="C35" s="4" t="s">
        <v>5</v>
      </c>
      <c r="D35" s="4" t="s">
        <v>6</v>
      </c>
      <c r="E35" s="4" t="s">
        <v>7</v>
      </c>
      <c r="F35" s="4" t="s">
        <v>8</v>
      </c>
      <c r="G35" s="4" t="s">
        <v>9</v>
      </c>
      <c r="H35" s="4" t="s">
        <v>10</v>
      </c>
      <c r="I35" s="4" t="s">
        <v>11</v>
      </c>
      <c r="J35" s="4" t="s">
        <v>12</v>
      </c>
      <c r="K35" s="4" t="s">
        <v>13</v>
      </c>
    </row>
    <row r="36" spans="1:11" ht="18" customHeight="1">
      <c r="A36" s="5" t="s">
        <v>350</v>
      </c>
      <c r="B36" s="9">
        <v>4800</v>
      </c>
      <c r="C36" s="9">
        <f>B36*(1+$B$60)</f>
        <v>4992.0</v>
      </c>
      <c r="D36" s="9">
        <f>C36*(1+$B$60)</f>
        <v>5191.68</v>
      </c>
      <c r="E36" s="9">
        <f>D36*(1+$B$60)</f>
        <v>5399.35</v>
      </c>
      <c r="F36" s="9">
        <f>E36*(1+$B$60)</f>
        <v>5615.32</v>
      </c>
      <c r="G36" s="9">
        <f>F36*(1+$B$60)</f>
        <v>5839.93</v>
      </c>
      <c r="H36" s="9">
        <f>G36*(1+$B$60)</f>
        <v>6073.53</v>
      </c>
      <c r="I36" s="9">
        <f>H36*(1+$B$60)</f>
        <v>6316.47</v>
      </c>
      <c r="J36" s="9">
        <f>I36*(1+$B$60)</f>
        <v>6569.13</v>
      </c>
      <c r="K36" s="9">
        <f>J36*(1+$B$60)</f>
        <v>6831.9</v>
      </c>
    </row>
    <row r="37" spans="1:11" ht="18" customHeight="1">
      <c r="A37" s="5" t="s">
        <v>351</v>
      </c>
      <c r="B37" s="9">
        <v>2400</v>
      </c>
      <c r="C37" s="9">
        <f>B37*(1+$B$60)</f>
        <v>2496.0</v>
      </c>
      <c r="D37" s="9">
        <f>C37*(1+$B$60)</f>
        <v>2595.84</v>
      </c>
      <c r="E37" s="9">
        <f>D37*(1+$B$60)</f>
        <v>2699.67</v>
      </c>
      <c r="F37" s="9">
        <f>E37*(1+$B$60)</f>
        <v>2807.66</v>
      </c>
      <c r="G37" s="9">
        <f>F37*(1+$B$60)</f>
        <v>2919.97</v>
      </c>
      <c r="H37" s="9">
        <f>G37*(1+$B$60)</f>
        <v>3036.77</v>
      </c>
      <c r="I37" s="9">
        <f>H37*(1+$B$60)</f>
        <v>3158.24</v>
      </c>
      <c r="J37" s="9">
        <f>I37*(1+$B$60)</f>
        <v>3284.57</v>
      </c>
      <c r="K37" s="9">
        <f>J37*(1+$B$60)</f>
        <v>3415.95</v>
      </c>
    </row>
    <row r="38" spans="1:11" ht="18" customHeight="1">
      <c r="A38" s="5" t="s">
        <v>352</v>
      </c>
      <c r="B38" s="9">
        <v>3600</v>
      </c>
      <c r="C38" s="9">
        <f>B38*(1+$B$60)</f>
        <v>3744.0</v>
      </c>
      <c r="D38" s="9">
        <f>C38*(1+$B$60)</f>
        <v>3893.76</v>
      </c>
      <c r="E38" s="9">
        <f>D38*(1+$B$60)</f>
        <v>4049.51</v>
      </c>
      <c r="F38" s="9">
        <f>E38*(1+$B$60)</f>
        <v>4211.49</v>
      </c>
      <c r="G38" s="9">
        <f>F38*(1+$B$60)</f>
        <v>4379.95</v>
      </c>
      <c r="H38" s="9">
        <f>G38*(1+$B$60)</f>
        <v>4555.15</v>
      </c>
      <c r="I38" s="9">
        <f>H38*(1+$B$60)</f>
        <v>4737.35</v>
      </c>
      <c r="J38" s="9">
        <f>I38*(1+$B$60)</f>
        <v>4926.85</v>
      </c>
      <c r="K38" s="9">
        <f>J38*(1+$B$60)</f>
        <v>5123.92</v>
      </c>
    </row>
    <row r="39" spans="1:11" ht="18" customHeight="1">
      <c r="A39" s="5" t="s">
        <v>353</v>
      </c>
      <c r="B39" s="9">
        <v>2800</v>
      </c>
      <c r="C39" s="9">
        <f>B39*(1+$B$60)</f>
        <v>2912.0</v>
      </c>
      <c r="D39" s="9">
        <f>C39*(1+$B$60)</f>
        <v>3028.48</v>
      </c>
      <c r="E39" s="9">
        <f>D39*(1+$B$60)</f>
        <v>3149.62</v>
      </c>
      <c r="F39" s="9">
        <f>E39*(1+$B$60)</f>
        <v>3275.6</v>
      </c>
      <c r="G39" s="9">
        <f>F39*(1+$B$60)</f>
        <v>3406.63</v>
      </c>
      <c r="H39" s="9">
        <f>G39*(1+$B$60)</f>
        <v>3542.89</v>
      </c>
      <c r="I39" s="9">
        <f>H39*(1+$B$60)</f>
        <v>3684.61</v>
      </c>
      <c r="J39" s="9">
        <f>I39*(1+$B$60)</f>
        <v>3831.99</v>
      </c>
      <c r="K39" s="9">
        <f>J39*(1+$B$60)</f>
        <v>3985.27</v>
      </c>
    </row>
    <row r="40" spans="1:11" ht="18" customHeight="1">
      <c r="A40" s="5" t="s">
        <v>354</v>
      </c>
      <c r="B40" s="9">
        <v>2400</v>
      </c>
      <c r="C40" s="9">
        <f>B40*(1+$B$60)</f>
        <v>2496.0</v>
      </c>
      <c r="D40" s="9">
        <f>C40*(1+$B$60)</f>
        <v>2595.84</v>
      </c>
      <c r="E40" s="9">
        <f>D40*(1+$B$60)</f>
        <v>2699.67</v>
      </c>
      <c r="F40" s="9">
        <f>E40*(1+$B$60)</f>
        <v>2807.66</v>
      </c>
      <c r="G40" s="9">
        <f>F40*(1+$B$60)</f>
        <v>2919.97</v>
      </c>
      <c r="H40" s="9">
        <f>G40*(1+$B$60)</f>
        <v>3036.77</v>
      </c>
      <c r="I40" s="9">
        <f>H40*(1+$B$60)</f>
        <v>3158.24</v>
      </c>
      <c r="J40" s="9">
        <f>I40*(1+$B$60)</f>
        <v>3284.57</v>
      </c>
      <c r="K40" s="9">
        <f>J40*(1+$B$60)</f>
        <v>3415.95</v>
      </c>
    </row>
    <row r="41" spans="1:11" ht="18" customHeight="1">
      <c r="A41" s="8" t="s">
        <v>355</v>
      </c>
      <c r="B41" s="8">
        <f>SUM(B36,B37,B38,B39,B40)</f>
        <v>16000.0</v>
      </c>
      <c r="C41" s="8">
        <f>SUM(C36,C37,C38,C39,C40)</f>
        <v>16640.0</v>
      </c>
      <c r="D41" s="8">
        <f>SUM(D36,D37,D38,D39,D40)</f>
        <v>17305.6</v>
      </c>
      <c r="E41" s="8">
        <f>SUM(E36,E37,E38,E39,E40)</f>
        <v>17997.82</v>
      </c>
      <c r="F41" s="8">
        <f>SUM(F36,F37,F38,F39,F40)</f>
        <v>18717.74</v>
      </c>
      <c r="G41" s="8">
        <f>SUM(G36,G37,G38,G39,G40)</f>
        <v>19466.45</v>
      </c>
      <c r="H41" s="8">
        <f>SUM(H36,H37,H38,H39,H40)</f>
        <v>20245.1</v>
      </c>
      <c r="I41" s="8">
        <f>SUM(I36,I37,I38,I39,I40)</f>
        <v>21054.91</v>
      </c>
      <c r="J41" s="8">
        <f>SUM(J36,J37,J38,J39,J40)</f>
        <v>21897.1</v>
      </c>
      <c r="K41" s="8">
        <f>SUM(K36,K37,K38,K39,K40)</f>
        <v>22772.99</v>
      </c>
    </row>
    <row r="42" spans="1:11" ht="18" customHeight="1">
      <c r="A42" s="5" t="s">
        <v>356</v>
      </c>
      <c r="B42" s="9">
        <f>'DEPRECIACIONES AMORTIZACION'!B105</f>
        <v>9583.2</v>
      </c>
      <c r="C42" s="9">
        <f>'DEPRECIACIONES AMORTIZACION'!C105</f>
        <v>9583.2</v>
      </c>
      <c r="D42" s="9">
        <f>'DEPRECIACIONES AMORTIZACION'!D105</f>
        <v>9583.2</v>
      </c>
      <c r="E42" s="9">
        <f>'DEPRECIACIONES AMORTIZACION'!E105</f>
        <v>9583.2</v>
      </c>
      <c r="F42" s="9">
        <f>'DEPRECIACIONES AMORTIZACION'!F105</f>
        <v>4831.2</v>
      </c>
      <c r="G42" s="9">
        <f>'DEPRECIACIONES AMORTIZACION'!G105</f>
        <v>712.8</v>
      </c>
      <c r="H42" s="9">
        <f>'DEPRECIACIONES AMORTIZACION'!H105</f>
        <v>712.8</v>
      </c>
      <c r="I42" s="9">
        <f>'DEPRECIACIONES AMORTIZACION'!I105</f>
        <v>712.8</v>
      </c>
      <c r="J42" s="9">
        <f>'DEPRECIACIONES AMORTIZACION'!J105</f>
        <v>712.8</v>
      </c>
      <c r="K42" s="9">
        <f>'DEPRECIACIONES AMORTIZACION'!K105</f>
        <v>712.8</v>
      </c>
    </row>
    <row r="43" spans="1:11" ht="18" customHeight="1">
      <c r="A43" s="5" t="s">
        <v>357</v>
      </c>
      <c r="B43" s="9">
        <f>'DEPRECIACIONES AMORTIZACION'!B106</f>
        <v>26400.0</v>
      </c>
      <c r="C43" s="9">
        <f>'DEPRECIACIONES AMORTIZACION'!C106</f>
        <v>26400.0</v>
      </c>
      <c r="D43" s="9">
        <f>'DEPRECIACIONES AMORTIZACION'!D106</f>
        <v>26400.0</v>
      </c>
      <c r="E43" s="9">
        <f>'DEPRECIACIONES AMORTIZACION'!E106</f>
        <v>26400.0</v>
      </c>
      <c r="F43" s="9">
        <f>'DEPRECIACIONES AMORTIZACION'!F106</f>
        <v>26400.0</v>
      </c>
      <c r="G43" s="9">
        <f>'DEPRECIACIONES AMORTIZACION'!G106</f>
        <v>0.0</v>
      </c>
      <c r="H43" s="9">
        <f>'DEPRECIACIONES AMORTIZACION'!H106</f>
        <v>0.0</v>
      </c>
      <c r="I43" s="9">
        <f>'DEPRECIACIONES AMORTIZACION'!I106</f>
        <v>0.0</v>
      </c>
      <c r="J43" s="9">
        <f>'DEPRECIACIONES AMORTIZACION'!J106</f>
        <v>0.0</v>
      </c>
      <c r="K43" s="9">
        <f>'DEPRECIACIONES AMORTIZACION'!K106</f>
        <v>0.0</v>
      </c>
    </row>
    <row r="44" spans="1:11" ht="18" customHeight="1">
      <c r="A44" s="8" t="s">
        <v>358</v>
      </c>
      <c r="B44" s="8">
        <f>SUM(B42,B43)</f>
        <v>35983.2</v>
      </c>
      <c r="C44" s="8">
        <f>SUM(C42,C43)</f>
        <v>35983.2</v>
      </c>
      <c r="D44" s="8">
        <f>SUM(D42,D43)</f>
        <v>35983.2</v>
      </c>
      <c r="E44" s="8">
        <f>SUM(E42,E43)</f>
        <v>35983.2</v>
      </c>
      <c r="F44" s="8">
        <f>SUM(F42,F43)</f>
        <v>31231.2</v>
      </c>
      <c r="G44" s="8">
        <f>SUM(G42,G43)</f>
        <v>712.8</v>
      </c>
      <c r="H44" s="8">
        <f>SUM(H42,H43)</f>
        <v>712.8</v>
      </c>
      <c r="I44" s="8">
        <f>SUM(I42,I43)</f>
        <v>712.8</v>
      </c>
      <c r="J44" s="8">
        <f>SUM(J42,J43)</f>
        <v>712.8</v>
      </c>
      <c r="K44" s="8">
        <f>SUM(K42,K43)</f>
        <v>712.8</v>
      </c>
    </row>
    <row r="47" spans="1:11" ht="18" customHeight="1">
      <c r="A47" s="3" t="s">
        <v>359</v>
      </c>
      <c r="B47" s="4" t="s">
        <v>75</v>
      </c>
    </row>
    <row r="48" spans="1:11" ht="18" customHeight="1">
      <c r="A48" s="5" t="s">
        <v>360</v>
      </c>
      <c r="B48" s="9">
        <f>'PLAN DE INVERSION'!F27</f>
        <v>180000.0</v>
      </c>
    </row>
    <row r="49" spans="1:2" ht="18" customHeight="1">
      <c r="A49" s="5" t="s">
        <v>361</v>
      </c>
      <c r="B49" s="11">
        <v>0.18</v>
      </c>
    </row>
    <row r="50" spans="1:2" ht="18" customHeight="1">
      <c r="A50" s="5" t="s">
        <v>362</v>
      </c>
      <c r="B50" s="6">
        <v>2</v>
      </c>
    </row>
    <row r="51" spans="1:2" ht="18" customHeight="1">
      <c r="A51" s="5" t="s">
        <v>363</v>
      </c>
      <c r="B51" s="6">
        <v>6</v>
      </c>
    </row>
    <row r="52" spans="1:2" ht="18" customHeight="1">
      <c r="A52" s="5" t="s">
        <v>364</v>
      </c>
      <c r="B52" s="9">
        <f>PMT(B49,B51,-B48)</f>
        <v>51463.82</v>
      </c>
    </row>
    <row r="54" spans="1:2" ht="18" customHeight="1">
      <c r="A54" s="5" t="s">
        <v>365</v>
      </c>
      <c r="B54" s="9">
        <f>SUM(B20:K20)</f>
        <v>193582.94</v>
      </c>
    </row>
    <row r="55" spans="1:2" ht="18" customHeight="1">
      <c r="A55" s="5" t="s">
        <v>366</v>
      </c>
      <c r="B55" s="9">
        <f>SUM(B21:K21)</f>
        <v>180000.0</v>
      </c>
    </row>
    <row r="56" spans="1:2" ht="18" customHeight="1">
      <c r="A56" s="8" t="s">
        <v>367</v>
      </c>
      <c r="B56" s="8">
        <f>SUM(B22:K22)</f>
        <v>373582.94</v>
      </c>
    </row>
    <row r="58" spans="1:2" ht="18" customHeight="1">
      <c r="A58" s="3" t="s">
        <v>368</v>
      </c>
    </row>
    <row r="59" spans="1:2" ht="18" customHeight="1">
      <c r="A59" s="5" t="s">
        <v>369</v>
      </c>
      <c r="B59" s="11">
        <v>0.025</v>
      </c>
    </row>
    <row r="60" spans="1:2" ht="18" customHeight="1">
      <c r="A60" s="5" t="s">
        <v>370</v>
      </c>
      <c r="B60" s="11">
        <v>0.04</v>
      </c>
    </row>
  </sheetData>
  <mergeCells count="6">
    <mergeCell ref="A1:M1"/>
    <mergeCell ref="A3:K3"/>
    <mergeCell ref="A10:K10"/>
    <mergeCell ref="A17:K17"/>
    <mergeCell ref="A27:K27"/>
    <mergeCell ref="A34:K34"/>
  </mergeCells>
  <pageMargins left="0.25" right="0.25" top="0.35" bottom="0.35" header="0.3" footer="0.3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112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8.7109375" customWidth="1"/>
    <col min="2" max="11" width="14.7109375" customWidth="1"/>
    <col min="12" max="12" width="13.28515625" customWidth="1"/>
  </cols>
  <sheetData>
    <row r="1" spans="1:12" ht="22" customHeight="1">
      <c r="A1" s="1" t="s">
        <v>371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20" customHeight="1">
      <c r="A3" s="3" t="s">
        <v>372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 ht="18" customHeight="1">
      <c r="A4" s="4" t="s">
        <v>373</v>
      </c>
      <c r="B4" s="4" t="s">
        <v>75</v>
      </c>
      <c r="C4" s="4" t="s">
        <v>374</v>
      </c>
    </row>
    <row r="5" spans="1:12" ht="18" customHeight="1">
      <c r="A5" s="5" t="s">
        <v>375</v>
      </c>
      <c r="B5" s="9">
        <f>D34</f>
        <v>48000.0</v>
      </c>
      <c r="C5" s="6">
        <f>H30</f>
        <v>4</v>
      </c>
    </row>
    <row r="6" spans="1:12" ht="18" customHeight="1">
      <c r="A6" s="5" t="s">
        <v>376</v>
      </c>
      <c r="B6" s="9">
        <f>D42</f>
        <v>32000.0</v>
      </c>
      <c r="C6" s="6">
        <f>H38</f>
        <v>5</v>
      </c>
    </row>
    <row r="7" spans="1:12" ht="18" customHeight="1">
      <c r="A7" s="5" t="s">
        <v>377</v>
      </c>
      <c r="B7" s="9">
        <f>D51</f>
        <v>20000.0</v>
      </c>
      <c r="C7" s="6">
        <f>H46</f>
        <v>5</v>
      </c>
    </row>
    <row r="8" spans="1:12" ht="18" customHeight="1">
      <c r="A8" s="5" t="s">
        <v>378</v>
      </c>
      <c r="B8" s="9">
        <f>D60</f>
        <v>18000.0</v>
      </c>
      <c r="C8" s="6">
        <f>H55</f>
        <v>10</v>
      </c>
    </row>
    <row r="10" spans="1:12" ht="20" customHeight="1">
      <c r="A10" s="4" t="s">
        <v>3</v>
      </c>
      <c r="B10" s="4" t="s">
        <v>4</v>
      </c>
      <c r="C10" s="4" t="s">
        <v>5</v>
      </c>
      <c r="D10" s="4" t="s">
        <v>6</v>
      </c>
      <c r="E10" s="4" t="s">
        <v>7</v>
      </c>
      <c r="F10" s="4" t="s">
        <v>8</v>
      </c>
      <c r="G10" s="4" t="s">
        <v>9</v>
      </c>
      <c r="H10" s="4" t="s">
        <v>10</v>
      </c>
      <c r="I10" s="4" t="s">
        <v>11</v>
      </c>
      <c r="J10" s="4" t="s">
        <v>12</v>
      </c>
      <c r="K10" s="4" t="s">
        <v>13</v>
      </c>
    </row>
    <row r="11" spans="1:12" ht="18" customHeight="1">
      <c r="A11" s="5" t="s">
        <v>379</v>
      </c>
      <c r="B11" s="9">
        <f>B84</f>
        <v>23958.0</v>
      </c>
      <c r="C11" s="9">
        <f>C84</f>
        <v>23958.0</v>
      </c>
      <c r="D11" s="9">
        <f>D84</f>
        <v>23958.0</v>
      </c>
      <c r="E11" s="9">
        <f>E84</f>
        <v>23958.0</v>
      </c>
      <c r="F11" s="9">
        <f>F84</f>
        <v>12078.0</v>
      </c>
      <c r="G11" s="9">
        <f>G84</f>
        <v>1782.0</v>
      </c>
      <c r="H11" s="9">
        <f>H84</f>
        <v>1782.0</v>
      </c>
      <c r="I11" s="9">
        <f>I84</f>
        <v>1782.0</v>
      </c>
      <c r="J11" s="9">
        <f>J84</f>
        <v>1782.0</v>
      </c>
      <c r="K11" s="9">
        <f>K84</f>
        <v>1782.0</v>
      </c>
    </row>
    <row r="12" spans="1:12" ht="18" customHeight="1">
      <c r="A12" s="8" t="s">
        <v>380</v>
      </c>
      <c r="B12" s="8">
        <f>MAX(0,SUM($B$5:$B$8)-SUM($B$11:B11))</f>
        <v>94042.0</v>
      </c>
      <c r="C12" s="8">
        <f>MAX(0,SUM($B$5:$B$8)-SUM($B$11:C11))</f>
        <v>70084.0</v>
      </c>
      <c r="D12" s="8">
        <f>MAX(0,SUM($B$5:$B$8)-SUM($B$11:D11))</f>
        <v>46126.0</v>
      </c>
      <c r="E12" s="8">
        <f>MAX(0,SUM($B$5:$B$8)-SUM($B$11:E11))</f>
        <v>22168.0</v>
      </c>
      <c r="F12" s="8">
        <f>MAX(0,SUM($B$5:$B$8)-SUM($B$11:F11))</f>
        <v>10090.0</v>
      </c>
      <c r="G12" s="8">
        <f>MAX(0,SUM($B$5:$B$8)-SUM($B$11:G11))</f>
        <v>8308.0</v>
      </c>
      <c r="H12" s="8">
        <f>MAX(0,SUM($B$5:$B$8)-SUM($B$11:H11))</f>
        <v>6526.0</v>
      </c>
      <c r="I12" s="8">
        <f>MAX(0,SUM($B$5:$B$8)-SUM($B$11:I11))</f>
        <v>4744.0</v>
      </c>
      <c r="J12" s="8">
        <f>MAX(0,SUM($B$5:$B$8)-SUM($B$11:J11))</f>
        <v>2962.0</v>
      </c>
      <c r="K12" s="8">
        <f>MAX(0,SUM($B$5:$B$8)-SUM($B$11:K11))</f>
        <v>1180.0</v>
      </c>
    </row>
    <row r="15" spans="1:12" ht="20" customHeight="1">
      <c r="A15" s="3" t="s">
        <v>381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2" ht="18" customHeight="1">
      <c r="A16" s="4" t="s">
        <v>373</v>
      </c>
      <c r="B16" s="4" t="s">
        <v>75</v>
      </c>
      <c r="C16" s="4" t="s">
        <v>374</v>
      </c>
    </row>
    <row r="17" spans="1:11" ht="18" customHeight="1">
      <c r="A17" s="5" t="s">
        <v>382</v>
      </c>
      <c r="B17" s="9">
        <f>D88</f>
        <v>8000.0</v>
      </c>
      <c r="C17" s="6">
        <f>H88</f>
        <v>5</v>
      </c>
    </row>
    <row r="18" spans="1:11" ht="18" customHeight="1">
      <c r="A18" s="5" t="s">
        <v>383</v>
      </c>
      <c r="B18" s="9">
        <f>D89</f>
        <v>90000.0</v>
      </c>
      <c r="C18" s="6">
        <f>H89</f>
        <v>5</v>
      </c>
    </row>
    <row r="19" spans="1:11" ht="18" customHeight="1">
      <c r="A19" s="5" t="s">
        <v>384</v>
      </c>
      <c r="B19" s="9">
        <f>D90</f>
        <v>22000.0</v>
      </c>
      <c r="C19" s="6">
        <f>H90</f>
        <v>5</v>
      </c>
    </row>
    <row r="20" spans="1:11" ht="18" customHeight="1">
      <c r="A20" s="5" t="s">
        <v>385</v>
      </c>
      <c r="B20" s="9">
        <f>D91</f>
        <v>12000.0</v>
      </c>
      <c r="C20" s="6">
        <f>H91</f>
        <v>5</v>
      </c>
    </row>
    <row r="22" spans="1:11" ht="20" customHeight="1">
      <c r="A22" s="4" t="s">
        <v>3</v>
      </c>
      <c r="B22" s="4" t="s">
        <v>4</v>
      </c>
      <c r="C22" s="4" t="s">
        <v>5</v>
      </c>
      <c r="D22" s="4" t="s">
        <v>6</v>
      </c>
      <c r="E22" s="4" t="s">
        <v>7</v>
      </c>
      <c r="F22" s="4" t="s">
        <v>8</v>
      </c>
      <c r="G22" s="4" t="s">
        <v>9</v>
      </c>
      <c r="H22" s="4" t="s">
        <v>10</v>
      </c>
      <c r="I22" s="4" t="s">
        <v>11</v>
      </c>
      <c r="J22" s="4" t="s">
        <v>12</v>
      </c>
      <c r="K22" s="4" t="s">
        <v>13</v>
      </c>
    </row>
    <row r="23" spans="1:11" ht="18" customHeight="1">
      <c r="A23" s="5" t="s">
        <v>386</v>
      </c>
      <c r="B23" s="9">
        <f>B100</f>
        <v>26400.0</v>
      </c>
      <c r="C23" s="9">
        <f>C100</f>
        <v>26400.0</v>
      </c>
      <c r="D23" s="9">
        <f>D100</f>
        <v>26400.0</v>
      </c>
      <c r="E23" s="9">
        <f>E100</f>
        <v>26400.0</v>
      </c>
      <c r="F23" s="9">
        <f>F100</f>
        <v>26400.0</v>
      </c>
      <c r="G23" s="9">
        <f>G100</f>
        <v>0.0</v>
      </c>
      <c r="H23" s="9">
        <f>H100</f>
        <v>0.0</v>
      </c>
      <c r="I23" s="9">
        <f>I100</f>
        <v>0.0</v>
      </c>
      <c r="J23" s="9">
        <f>J100</f>
        <v>0.0</v>
      </c>
      <c r="K23" s="9">
        <f>K100</f>
        <v>0.0</v>
      </c>
    </row>
    <row r="24" spans="1:11" ht="18" customHeight="1">
      <c r="A24" s="8" t="s">
        <v>387</v>
      </c>
      <c r="B24" s="8">
        <f>MAX(0,SUM($B$17:$B$20)-SUM($B$23:B23))</f>
        <v>105600.0</v>
      </c>
      <c r="C24" s="8">
        <f>MAX(0,SUM($B$17:$B$20)-SUM($B$23:C23))</f>
        <v>79200.0</v>
      </c>
      <c r="D24" s="8">
        <f>MAX(0,SUM($B$17:$B$20)-SUM($B$23:D23))</f>
        <v>52800.0</v>
      </c>
      <c r="E24" s="8">
        <f>MAX(0,SUM($B$17:$B$20)-SUM($B$23:E23))</f>
        <v>26400.0</v>
      </c>
      <c r="F24" s="8">
        <f>MAX(0,SUM($B$17:$B$20)-SUM($B$23:F23))</f>
        <v>0.0</v>
      </c>
      <c r="G24" s="8">
        <f>MAX(0,SUM($B$17:$B$20)-SUM($B$23:G23))</f>
        <v>0.0</v>
      </c>
      <c r="H24" s="8">
        <f>MAX(0,SUM($B$17:$B$20)-SUM($B$23:H23))</f>
        <v>0.0</v>
      </c>
      <c r="I24" s="8">
        <f>MAX(0,SUM($B$17:$B$20)-SUM($B$23:I23))</f>
        <v>0.0</v>
      </c>
      <c r="J24" s="8">
        <f>MAX(0,SUM($B$17:$B$20)-SUM($B$23:J23))</f>
        <v>0.0</v>
      </c>
      <c r="K24" s="8">
        <f>MAX(0,SUM($B$17:$B$20)-SUM($B$23:K23))</f>
        <v>0.0</v>
      </c>
    </row>
    <row r="27" spans="1:11" ht="20" customHeight="1">
      <c r="A27" s="3" t="s">
        <v>388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20" customHeight="1">
      <c r="A28" s="3" t="s">
        <v>389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ht="18" customHeight="1">
      <c r="A29" s="4" t="s">
        <v>373</v>
      </c>
      <c r="B29" s="4" t="s">
        <v>390</v>
      </c>
      <c r="C29" s="4" t="s">
        <v>391</v>
      </c>
      <c r="D29" s="4" t="s">
        <v>392</v>
      </c>
      <c r="E29" s="4" t="s">
        <v>393</v>
      </c>
      <c r="F29" s="4" t="s">
        <v>394</v>
      </c>
      <c r="G29" s="4" t="s">
        <v>395</v>
      </c>
      <c r="H29" s="4" t="s">
        <v>374</v>
      </c>
      <c r="I29" s="4" t="s">
        <v>379</v>
      </c>
      <c r="J29" s="4" t="s">
        <v>396</v>
      </c>
      <c r="K29" s="4" t="s">
        <v>397</v>
      </c>
    </row>
    <row r="30" spans="1:11" ht="18" customHeight="1">
      <c r="A30" s="5" t="s">
        <v>398</v>
      </c>
      <c r="B30" s="6">
        <v>4</v>
      </c>
      <c r="C30" s="9">
        <v>7000</v>
      </c>
      <c r="D30" s="9">
        <f>B30*C30</f>
        <v>28000.0</v>
      </c>
      <c r="E30" s="11">
        <v>0.01</v>
      </c>
      <c r="F30" s="9">
        <f>D30*E30</f>
        <v>280.0</v>
      </c>
      <c r="G30" s="9">
        <f>D30-F30</f>
        <v>27720.0</v>
      </c>
      <c r="H30" s="6">
        <v>4</v>
      </c>
      <c r="I30" s="9">
        <f>G30/H30</f>
        <v>6930.0</v>
      </c>
      <c r="J30" s="9">
        <f>I30*MIN(10,H30)</f>
        <v>27720.0</v>
      </c>
      <c r="K30" s="9">
        <f>MAX(F30,D30-J30)</f>
        <v>280.0</v>
      </c>
    </row>
    <row r="31" spans="1:11" ht="18" customHeight="1">
      <c r="A31" s="5" t="s">
        <v>399</v>
      </c>
      <c r="B31" s="6">
        <v>2</v>
      </c>
      <c r="C31" s="9">
        <v>5000</v>
      </c>
      <c r="D31" s="9">
        <f>B31*C31</f>
        <v>10000.0</v>
      </c>
      <c r="E31" s="11">
        <v>0.01</v>
      </c>
      <c r="F31" s="9">
        <f>D31*E31</f>
        <v>100.0</v>
      </c>
      <c r="G31" s="9">
        <f>D31-F31</f>
        <v>9900.0</v>
      </c>
      <c r="H31" s="6">
        <v>4</v>
      </c>
      <c r="I31" s="9">
        <f>G31/H31</f>
        <v>2475.0</v>
      </c>
      <c r="J31" s="9">
        <f>I31*MIN(10,H31)</f>
        <v>9900.0</v>
      </c>
      <c r="K31" s="9">
        <f>MAX(F31,D31-J31)</f>
        <v>100.0</v>
      </c>
    </row>
    <row r="32" spans="1:11" ht="18" customHeight="1">
      <c r="A32" s="5" t="s">
        <v>400</v>
      </c>
      <c r="B32" s="6">
        <v>4</v>
      </c>
      <c r="C32" s="9">
        <v>1500</v>
      </c>
      <c r="D32" s="9">
        <f>B32*C32</f>
        <v>6000.0</v>
      </c>
      <c r="E32" s="11">
        <v>0.01</v>
      </c>
      <c r="F32" s="9">
        <f>D32*E32</f>
        <v>60.0</v>
      </c>
      <c r="G32" s="9">
        <f>D32-F32</f>
        <v>5940.0</v>
      </c>
      <c r="H32" s="6">
        <v>4</v>
      </c>
      <c r="I32" s="9">
        <f>G32/H32</f>
        <v>1485.0</v>
      </c>
      <c r="J32" s="9">
        <f>I32*MIN(10,H32)</f>
        <v>5940.0</v>
      </c>
      <c r="K32" s="9">
        <f>MAX(F32,D32-J32)</f>
        <v>60.0</v>
      </c>
    </row>
    <row r="33" spans="1:11" ht="18" customHeight="1">
      <c r="A33" s="5" t="s">
        <v>401</v>
      </c>
      <c r="B33" s="6">
        <v>2</v>
      </c>
      <c r="C33" s="9">
        <v>2000</v>
      </c>
      <c r="D33" s="9">
        <f>B33*C33</f>
        <v>4000.0</v>
      </c>
      <c r="E33" s="11">
        <v>0.01</v>
      </c>
      <c r="F33" s="9">
        <f>D33*E33</f>
        <v>40.0</v>
      </c>
      <c r="G33" s="9">
        <f>D33-F33</f>
        <v>3960.0</v>
      </c>
      <c r="H33" s="6">
        <v>4</v>
      </c>
      <c r="I33" s="9">
        <f>G33/H33</f>
        <v>990.0</v>
      </c>
      <c r="J33" s="9">
        <f>I33*MIN(10,H33)</f>
        <v>3960.0</v>
      </c>
      <c r="K33" s="9">
        <f>MAX(F33,D33-J33)</f>
        <v>40.0</v>
      </c>
    </row>
    <row r="34" spans="1:11" ht="18" customHeight="1">
      <c r="A34" s="8" t="s">
        <v>402</v>
      </c>
      <c r="D34" s="8">
        <f>SUM(D30:D33)</f>
        <v>48000.0</v>
      </c>
      <c r="F34" s="8">
        <f>SUM(F30:F33)</f>
        <v>480.0</v>
      </c>
      <c r="G34" s="8">
        <f>SUM(G30:G33)</f>
        <v>47520.0</v>
      </c>
      <c r="I34" s="8">
        <f>SUM(I30:I33)</f>
        <v>11880.0</v>
      </c>
      <c r="J34" s="8">
        <f>SUM(J30:J33)</f>
        <v>47520.0</v>
      </c>
      <c r="K34" s="8">
        <f>SUM(K30:K33)</f>
        <v>480.0</v>
      </c>
    </row>
    <row r="36" spans="1:11" ht="20" customHeight="1">
      <c r="A36" s="3" t="s">
        <v>403</v>
      </c>
      <c r="B36" s="3"/>
      <c r="C36" s="3"/>
      <c r="D36" s="3"/>
      <c r="E36" s="3"/>
      <c r="F36" s="3"/>
      <c r="G36" s="3"/>
      <c r="H36" s="3"/>
      <c r="I36" s="3"/>
      <c r="J36" s="3"/>
      <c r="K36" s="3"/>
    </row>
    <row r="37" spans="1:11" ht="18" customHeight="1">
      <c r="A37" s="4" t="s">
        <v>373</v>
      </c>
      <c r="B37" s="4" t="s">
        <v>390</v>
      </c>
      <c r="C37" s="4" t="s">
        <v>391</v>
      </c>
      <c r="D37" s="4" t="s">
        <v>392</v>
      </c>
      <c r="E37" s="4" t="s">
        <v>393</v>
      </c>
      <c r="F37" s="4" t="s">
        <v>394</v>
      </c>
      <c r="G37" s="4" t="s">
        <v>395</v>
      </c>
      <c r="H37" s="4" t="s">
        <v>374</v>
      </c>
      <c r="I37" s="4" t="s">
        <v>379</v>
      </c>
      <c r="J37" s="4" t="s">
        <v>396</v>
      </c>
      <c r="K37" s="4" t="s">
        <v>397</v>
      </c>
    </row>
    <row r="38" spans="1:11" ht="18" customHeight="1">
      <c r="A38" s="5" t="s">
        <v>404</v>
      </c>
      <c r="B38" s="6">
        <v>1</v>
      </c>
      <c r="C38" s="9">
        <v>18000</v>
      </c>
      <c r="D38" s="9">
        <f>B38*C38</f>
        <v>18000.0</v>
      </c>
      <c r="E38" s="11">
        <v>0.01</v>
      </c>
      <c r="F38" s="9">
        <f>D38*E38</f>
        <v>180.0</v>
      </c>
      <c r="G38" s="9">
        <f>D38-F38</f>
        <v>17820.0</v>
      </c>
      <c r="H38" s="6">
        <v>5</v>
      </c>
      <c r="I38" s="9">
        <f>G38/H38</f>
        <v>3564.0</v>
      </c>
      <c r="J38" s="9">
        <f>I38*MIN(10,H38)</f>
        <v>17820.0</v>
      </c>
      <c r="K38" s="9">
        <f>MAX(F38,D38-J38)</f>
        <v>180.0</v>
      </c>
    </row>
    <row r="39" spans="1:11" ht="18" customHeight="1">
      <c r="A39" s="5" t="s">
        <v>405</v>
      </c>
      <c r="B39" s="6">
        <v>2</v>
      </c>
      <c r="C39" s="9">
        <v>2000</v>
      </c>
      <c r="D39" s="9">
        <f>B39*C39</f>
        <v>4000.0</v>
      </c>
      <c r="E39" s="11">
        <v>0.01</v>
      </c>
      <c r="F39" s="9">
        <f>D39*E39</f>
        <v>40.0</v>
      </c>
      <c r="G39" s="9">
        <f>D39-F39</f>
        <v>3960.0</v>
      </c>
      <c r="H39" s="6">
        <v>5</v>
      </c>
      <c r="I39" s="9">
        <f>G39/H39</f>
        <v>792.0</v>
      </c>
      <c r="J39" s="9">
        <f>I39*MIN(10,H39)</f>
        <v>3960.0</v>
      </c>
      <c r="K39" s="9">
        <f>MAX(F39,D39-J39)</f>
        <v>40.0</v>
      </c>
    </row>
    <row r="40" spans="1:11" ht="18" customHeight="1">
      <c r="A40" s="5" t="s">
        <v>406</v>
      </c>
      <c r="B40" s="6">
        <v>4</v>
      </c>
      <c r="C40" s="9">
        <v>1500</v>
      </c>
      <c r="D40" s="9">
        <f>B40*C40</f>
        <v>6000.0</v>
      </c>
      <c r="E40" s="11">
        <v>0.01</v>
      </c>
      <c r="F40" s="9">
        <f>D40*E40</f>
        <v>60.0</v>
      </c>
      <c r="G40" s="9">
        <f>D40-F40</f>
        <v>5940.0</v>
      </c>
      <c r="H40" s="6">
        <v>5</v>
      </c>
      <c r="I40" s="9">
        <f>G40/H40</f>
        <v>1188.0</v>
      </c>
      <c r="J40" s="9">
        <f>I40*MIN(10,H40)</f>
        <v>5940.0</v>
      </c>
      <c r="K40" s="9">
        <f>MAX(F40,D40-J40)</f>
        <v>60.0</v>
      </c>
    </row>
    <row r="41" spans="1:11" ht="18" customHeight="1">
      <c r="A41" s="5" t="s">
        <v>407</v>
      </c>
      <c r="B41" s="6">
        <v>4</v>
      </c>
      <c r="C41" s="9">
        <v>1000</v>
      </c>
      <c r="D41" s="9">
        <f>B41*C41</f>
        <v>4000.0</v>
      </c>
      <c r="E41" s="11">
        <v>0.01</v>
      </c>
      <c r="F41" s="9">
        <f>D41*E41</f>
        <v>40.0</v>
      </c>
      <c r="G41" s="9">
        <f>D41-F41</f>
        <v>3960.0</v>
      </c>
      <c r="H41" s="6">
        <v>5</v>
      </c>
      <c r="I41" s="9">
        <f>G41/H41</f>
        <v>792.0</v>
      </c>
      <c r="J41" s="9">
        <f>I41*MIN(10,H41)</f>
        <v>3960.0</v>
      </c>
      <c r="K41" s="9">
        <f>MAX(F41,D41-J41)</f>
        <v>40.0</v>
      </c>
    </row>
    <row r="42" spans="1:11" ht="18" customHeight="1">
      <c r="A42" s="8" t="s">
        <v>408</v>
      </c>
      <c r="D42" s="8">
        <f>SUM(D38:D41)</f>
        <v>32000.0</v>
      </c>
      <c r="F42" s="8">
        <f>SUM(F38:F41)</f>
        <v>320.0</v>
      </c>
      <c r="G42" s="8">
        <f>SUM(G38:G41)</f>
        <v>31680.0</v>
      </c>
      <c r="I42" s="8">
        <f>SUM(I38:I41)</f>
        <v>6336.0</v>
      </c>
      <c r="J42" s="8">
        <f>SUM(J38:J41)</f>
        <v>31680.0</v>
      </c>
      <c r="K42" s="8">
        <f>SUM(K38:K41)</f>
        <v>320.0</v>
      </c>
    </row>
    <row r="44" spans="1:11" ht="20" customHeight="1">
      <c r="A44" s="3" t="s">
        <v>409</v>
      </c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 ht="18" customHeight="1">
      <c r="A45" s="4" t="s">
        <v>373</v>
      </c>
      <c r="B45" s="4" t="s">
        <v>390</v>
      </c>
      <c r="C45" s="4" t="s">
        <v>391</v>
      </c>
      <c r="D45" s="4" t="s">
        <v>392</v>
      </c>
      <c r="E45" s="4" t="s">
        <v>393</v>
      </c>
      <c r="F45" s="4" t="s">
        <v>394</v>
      </c>
      <c r="G45" s="4" t="s">
        <v>395</v>
      </c>
      <c r="H45" s="4" t="s">
        <v>374</v>
      </c>
      <c r="I45" s="4" t="s">
        <v>379</v>
      </c>
      <c r="J45" s="4" t="s">
        <v>396</v>
      </c>
      <c r="K45" s="4" t="s">
        <v>397</v>
      </c>
    </row>
    <row r="46" spans="1:11" ht="18" customHeight="1">
      <c r="A46" s="5" t="s">
        <v>410</v>
      </c>
      <c r="B46" s="6">
        <v>20</v>
      </c>
      <c r="C46" s="9">
        <v>300</v>
      </c>
      <c r="D46" s="9">
        <f>B46*C46</f>
        <v>6000.0</v>
      </c>
      <c r="E46" s="11">
        <v>0.01</v>
      </c>
      <c r="F46" s="9">
        <f>D46*E46</f>
        <v>60.0</v>
      </c>
      <c r="G46" s="9">
        <f>D46-F46</f>
        <v>5940.0</v>
      </c>
      <c r="H46" s="6">
        <v>5</v>
      </c>
      <c r="I46" s="9">
        <f>G46/H46</f>
        <v>1188.0</v>
      </c>
      <c r="J46" s="9">
        <f>I46*MIN(10,H46)</f>
        <v>5940.0</v>
      </c>
      <c r="K46" s="9">
        <f>MAX(F46,D46-J46)</f>
        <v>60.0</v>
      </c>
    </row>
    <row r="47" spans="1:11" ht="18" customHeight="1">
      <c r="A47" s="5" t="s">
        <v>411</v>
      </c>
      <c r="B47" s="6">
        <v>4</v>
      </c>
      <c r="C47" s="9">
        <v>750</v>
      </c>
      <c r="D47" s="9">
        <f>B47*C47</f>
        <v>3000.0</v>
      </c>
      <c r="E47" s="11">
        <v>0.01</v>
      </c>
      <c r="F47" s="9">
        <f>D47*E47</f>
        <v>30.0</v>
      </c>
      <c r="G47" s="9">
        <f>D47-F47</f>
        <v>2970.0</v>
      </c>
      <c r="H47" s="6">
        <v>5</v>
      </c>
      <c r="I47" s="9">
        <f>G47/H47</f>
        <v>594.0</v>
      </c>
      <c r="J47" s="9">
        <f>I47*MIN(10,H47)</f>
        <v>2970.0</v>
      </c>
      <c r="K47" s="9">
        <f>MAX(F47,D47-J47)</f>
        <v>30.0</v>
      </c>
    </row>
    <row r="48" spans="1:11" ht="18" customHeight="1">
      <c r="A48" s="5" t="s">
        <v>412</v>
      </c>
      <c r="B48" s="6">
        <v>4</v>
      </c>
      <c r="C48" s="9">
        <v>1000</v>
      </c>
      <c r="D48" s="9">
        <f>B48*C48</f>
        <v>4000.0</v>
      </c>
      <c r="E48" s="11">
        <v>0.01</v>
      </c>
      <c r="F48" s="9">
        <f>D48*E48</f>
        <v>40.0</v>
      </c>
      <c r="G48" s="9">
        <f>D48-F48</f>
        <v>3960.0</v>
      </c>
      <c r="H48" s="6">
        <v>5</v>
      </c>
      <c r="I48" s="9">
        <f>G48/H48</f>
        <v>792.0</v>
      </c>
      <c r="J48" s="9">
        <f>I48*MIN(10,H48)</f>
        <v>3960.0</v>
      </c>
      <c r="K48" s="9">
        <f>MAX(F48,D48-J48)</f>
        <v>40.0</v>
      </c>
    </row>
    <row r="49" spans="1:11" ht="18" customHeight="1">
      <c r="A49" s="5" t="s">
        <v>413</v>
      </c>
      <c r="B49" s="6">
        <v>1</v>
      </c>
      <c r="C49" s="9">
        <v>2000</v>
      </c>
      <c r="D49" s="9">
        <f>B49*C49</f>
        <v>2000.0</v>
      </c>
      <c r="E49" s="11">
        <v>0.01</v>
      </c>
      <c r="F49" s="9">
        <f>D49*E49</f>
        <v>20.0</v>
      </c>
      <c r="G49" s="9">
        <f>D49-F49</f>
        <v>1980.0</v>
      </c>
      <c r="H49" s="6">
        <v>5</v>
      </c>
      <c r="I49" s="9">
        <f>G49/H49</f>
        <v>396.0</v>
      </c>
      <c r="J49" s="9">
        <f>I49*MIN(10,H49)</f>
        <v>1980.0</v>
      </c>
      <c r="K49" s="9">
        <f>MAX(F49,D49-J49)</f>
        <v>20.0</v>
      </c>
    </row>
    <row r="50" spans="1:11" ht="18" customHeight="1">
      <c r="A50" s="5" t="s">
        <v>414</v>
      </c>
      <c r="B50" s="6">
        <v>1</v>
      </c>
      <c r="C50" s="9">
        <v>5000</v>
      </c>
      <c r="D50" s="9">
        <f>B50*C50</f>
        <v>5000.0</v>
      </c>
      <c r="E50" s="11">
        <v>0.01</v>
      </c>
      <c r="F50" s="9">
        <f>D50*E50</f>
        <v>50.0</v>
      </c>
      <c r="G50" s="9">
        <f>D50-F50</f>
        <v>4950.0</v>
      </c>
      <c r="H50" s="6">
        <v>5</v>
      </c>
      <c r="I50" s="9">
        <f>G50/H50</f>
        <v>990.0</v>
      </c>
      <c r="J50" s="9">
        <f>I50*MIN(10,H50)</f>
        <v>4950.0</v>
      </c>
      <c r="K50" s="9">
        <f>MAX(F50,D50-J50)</f>
        <v>50.0</v>
      </c>
    </row>
    <row r="51" spans="1:11" ht="18" customHeight="1">
      <c r="A51" s="8" t="s">
        <v>415</v>
      </c>
      <c r="D51" s="8">
        <f>SUM(D46:D50)</f>
        <v>20000.0</v>
      </c>
      <c r="F51" s="8">
        <f>SUM(F46:F50)</f>
        <v>200.0</v>
      </c>
      <c r="G51" s="8">
        <f>SUM(G46:G50)</f>
        <v>19800.0</v>
      </c>
      <c r="I51" s="8">
        <f>SUM(I46:I50)</f>
        <v>3960.0</v>
      </c>
      <c r="J51" s="8">
        <f>SUM(J46:J50)</f>
        <v>19800.0</v>
      </c>
      <c r="K51" s="8">
        <f>SUM(K46:K50)</f>
        <v>200.0</v>
      </c>
    </row>
    <row r="53" spans="1:11" ht="20" customHeight="1">
      <c r="A53" s="3" t="s">
        <v>416</v>
      </c>
      <c r="B53" s="3"/>
      <c r="C53" s="3"/>
      <c r="D53" s="3"/>
      <c r="E53" s="3"/>
      <c r="F53" s="3"/>
      <c r="G53" s="3"/>
      <c r="H53" s="3"/>
      <c r="I53" s="3"/>
      <c r="J53" s="3"/>
      <c r="K53" s="3"/>
    </row>
    <row r="54" spans="1:11" ht="18" customHeight="1">
      <c r="A54" s="4" t="s">
        <v>373</v>
      </c>
      <c r="B54" s="4" t="s">
        <v>390</v>
      </c>
      <c r="C54" s="4" t="s">
        <v>391</v>
      </c>
      <c r="D54" s="4" t="s">
        <v>392</v>
      </c>
      <c r="E54" s="4" t="s">
        <v>393</v>
      </c>
      <c r="F54" s="4" t="s">
        <v>394</v>
      </c>
      <c r="G54" s="4" t="s">
        <v>395</v>
      </c>
      <c r="H54" s="4" t="s">
        <v>374</v>
      </c>
      <c r="I54" s="4" t="s">
        <v>379</v>
      </c>
      <c r="J54" s="4" t="s">
        <v>396</v>
      </c>
      <c r="K54" s="4" t="s">
        <v>397</v>
      </c>
    </row>
    <row r="55" spans="1:11" ht="18" customHeight="1">
      <c r="A55" s="5" t="s">
        <v>417</v>
      </c>
      <c r="B55" s="6">
        <v>6</v>
      </c>
      <c r="C55" s="9">
        <v>1200</v>
      </c>
      <c r="D55" s="9">
        <f>B55*C55</f>
        <v>7200.0</v>
      </c>
      <c r="E55" s="11">
        <v>0.01</v>
      </c>
      <c r="F55" s="9">
        <f>D55*E55</f>
        <v>72.0</v>
      </c>
      <c r="G55" s="9">
        <f>D55-F55</f>
        <v>7128.0</v>
      </c>
      <c r="H55" s="6">
        <v>10</v>
      </c>
      <c r="I55" s="9">
        <f>G55/H55</f>
        <v>712.8</v>
      </c>
      <c r="J55" s="9">
        <f>I55*MIN(10,H55)</f>
        <v>7128.0</v>
      </c>
      <c r="K55" s="9">
        <f>MAX(F55,D55-J55)</f>
        <v>72.0</v>
      </c>
    </row>
    <row r="56" spans="1:11" ht="18" customHeight="1">
      <c r="A56" s="5" t="s">
        <v>418</v>
      </c>
      <c r="B56" s="6">
        <v>6</v>
      </c>
      <c r="C56" s="9">
        <v>800</v>
      </c>
      <c r="D56" s="9">
        <f>B56*C56</f>
        <v>4800.0</v>
      </c>
      <c r="E56" s="11">
        <v>0.01</v>
      </c>
      <c r="F56" s="9">
        <f>D56*E56</f>
        <v>48.0</v>
      </c>
      <c r="G56" s="9">
        <f>D56-F56</f>
        <v>4752.0</v>
      </c>
      <c r="H56" s="6">
        <v>10</v>
      </c>
      <c r="I56" s="9">
        <f>G56/H56</f>
        <v>475.2</v>
      </c>
      <c r="J56" s="9">
        <f>I56*MIN(10,H56)</f>
        <v>4752.0</v>
      </c>
      <c r="K56" s="9">
        <f>MAX(F56,D56-J56)</f>
        <v>48.0</v>
      </c>
    </row>
    <row r="57" spans="1:11" ht="18" customHeight="1">
      <c r="A57" s="5" t="s">
        <v>419</v>
      </c>
      <c r="B57" s="6">
        <v>1</v>
      </c>
      <c r="C57" s="9">
        <v>2000</v>
      </c>
      <c r="D57" s="9">
        <f>B57*C57</f>
        <v>2000.0</v>
      </c>
      <c r="E57" s="11">
        <v>0.01</v>
      </c>
      <c r="F57" s="9">
        <f>D57*E57</f>
        <v>20.0</v>
      </c>
      <c r="G57" s="9">
        <f>D57-F57</f>
        <v>1980.0</v>
      </c>
      <c r="H57" s="6">
        <v>10</v>
      </c>
      <c r="I57" s="9">
        <f>G57/H57</f>
        <v>198.0</v>
      </c>
      <c r="J57" s="9">
        <f>I57*MIN(10,H57)</f>
        <v>1980.0</v>
      </c>
      <c r="K57" s="9">
        <f>MAX(F57,D57-J57)</f>
        <v>20.0</v>
      </c>
    </row>
    <row r="58" spans="1:11" ht="18" customHeight="1">
      <c r="A58" s="5" t="s">
        <v>420</v>
      </c>
      <c r="B58" s="6">
        <v>6</v>
      </c>
      <c r="C58" s="9">
        <v>500</v>
      </c>
      <c r="D58" s="9">
        <f>B58*C58</f>
        <v>3000.0</v>
      </c>
      <c r="E58" s="11">
        <v>0.01</v>
      </c>
      <c r="F58" s="9">
        <f>D58*E58</f>
        <v>30.0</v>
      </c>
      <c r="G58" s="9">
        <f>D58-F58</f>
        <v>2970.0</v>
      </c>
      <c r="H58" s="6">
        <v>10</v>
      </c>
      <c r="I58" s="9">
        <f>G58/H58</f>
        <v>297.0</v>
      </c>
      <c r="J58" s="9">
        <f>I58*MIN(10,H58)</f>
        <v>2970.0</v>
      </c>
      <c r="K58" s="9">
        <f>MAX(F58,D58-J58)</f>
        <v>30.0</v>
      </c>
    </row>
    <row r="59" spans="1:11" ht="18" customHeight="1">
      <c r="A59" s="5" t="s">
        <v>421</v>
      </c>
      <c r="B59" s="6">
        <v>2</v>
      </c>
      <c r="C59" s="9">
        <v>500</v>
      </c>
      <c r="D59" s="9">
        <f>B59*C59</f>
        <v>1000.0</v>
      </c>
      <c r="E59" s="11">
        <v>0.01</v>
      </c>
      <c r="F59" s="9">
        <f>D59*E59</f>
        <v>10.0</v>
      </c>
      <c r="G59" s="9">
        <f>D59-F59</f>
        <v>990.0</v>
      </c>
      <c r="H59" s="6">
        <v>10</v>
      </c>
      <c r="I59" s="9">
        <f>G59/H59</f>
        <v>99.0</v>
      </c>
      <c r="J59" s="9">
        <f>I59*MIN(10,H59)</f>
        <v>990.0</v>
      </c>
      <c r="K59" s="9">
        <f>MAX(F59,D59-J59)</f>
        <v>10.0</v>
      </c>
    </row>
    <row r="60" spans="1:11" ht="18" customHeight="1">
      <c r="A60" s="8" t="s">
        <v>422</v>
      </c>
      <c r="D60" s="8">
        <f>SUM(D55:D59)</f>
        <v>18000.0</v>
      </c>
      <c r="F60" s="8">
        <f>SUM(F55:F59)</f>
        <v>180.0</v>
      </c>
      <c r="G60" s="8">
        <f>SUM(G55:G59)</f>
        <v>17820.0</v>
      </c>
      <c r="I60" s="8">
        <f>SUM(I55:I59)</f>
        <v>1782.0</v>
      </c>
      <c r="J60" s="8">
        <f>SUM(J55:J59)</f>
        <v>17820.0</v>
      </c>
      <c r="K60" s="8">
        <f>SUM(K55:K59)</f>
        <v>180.0</v>
      </c>
    </row>
    <row r="62" spans="1:11" ht="18" customHeight="1">
      <c r="A62" s="8" t="s">
        <v>423</v>
      </c>
      <c r="D62" s="8">
        <f>D34+D42+D51+D60</f>
        <v>118000.0</v>
      </c>
      <c r="F62" s="8">
        <f>F34+F42+F51+F60</f>
        <v>1180.0</v>
      </c>
      <c r="G62" s="8">
        <f>G34+G42+G51+G60</f>
        <v>116820.0</v>
      </c>
      <c r="I62" s="8">
        <f>I34+I42+I51+I60</f>
        <v>23958.0</v>
      </c>
      <c r="J62" s="8">
        <f>J34+J42+J51+J60</f>
        <v>116820.0</v>
      </c>
      <c r="K62" s="8">
        <f>K34+K42+K51+K60</f>
        <v>1180.0</v>
      </c>
    </row>
    <row r="64" spans="1:11" ht="20" customHeight="1">
      <c r="A64" s="3" t="s">
        <v>424</v>
      </c>
      <c r="B64" s="3"/>
      <c r="C64" s="3"/>
      <c r="D64" s="3"/>
      <c r="E64" s="3"/>
      <c r="F64" s="3"/>
      <c r="G64" s="3"/>
      <c r="H64" s="3"/>
      <c r="I64" s="3"/>
      <c r="J64" s="3"/>
      <c r="K64" s="3"/>
    </row>
    <row r="65" spans="1:11" ht="20" customHeight="1">
      <c r="A65" s="4" t="s">
        <v>3</v>
      </c>
      <c r="B65" s="4" t="s">
        <v>4</v>
      </c>
      <c r="C65" s="4" t="s">
        <v>5</v>
      </c>
      <c r="D65" s="4" t="s">
        <v>6</v>
      </c>
      <c r="E65" s="4" t="s">
        <v>7</v>
      </c>
      <c r="F65" s="4" t="s">
        <v>8</v>
      </c>
      <c r="G65" s="4" t="s">
        <v>9</v>
      </c>
      <c r="H65" s="4" t="s">
        <v>10</v>
      </c>
      <c r="I65" s="4" t="s">
        <v>11</v>
      </c>
      <c r="J65" s="4" t="s">
        <v>12</v>
      </c>
      <c r="K65" s="4" t="s">
        <v>13</v>
      </c>
    </row>
    <row r="66" spans="1:11" ht="18" customHeight="1">
      <c r="A66" s="5" t="s">
        <v>425</v>
      </c>
      <c r="B66" s="9">
        <f>IF(1&lt;=$H$30,$I$30,0)</f>
        <v>6930.0</v>
      </c>
      <c r="C66" s="9">
        <f>IF(2&lt;=$H$30,$I$30,0)</f>
        <v>6930.0</v>
      </c>
      <c r="D66" s="9">
        <f>IF(3&lt;=$H$30,$I$30,0)</f>
        <v>6930.0</v>
      </c>
      <c r="E66" s="9">
        <f>IF(4&lt;=$H$30,$I$30,0)</f>
        <v>6930.0</v>
      </c>
      <c r="F66" s="9">
        <f>IF(5&lt;=$H$30,$I$30,0)</f>
        <v>0.0</v>
      </c>
      <c r="G66" s="9">
        <f>IF(6&lt;=$H$30,$I$30,0)</f>
        <v>0.0</v>
      </c>
      <c r="H66" s="9">
        <f>IF(7&lt;=$H$30,$I$30,0)</f>
        <v>0.0</v>
      </c>
      <c r="I66" s="9">
        <f>IF(8&lt;=$H$30,$I$30,0)</f>
        <v>0.0</v>
      </c>
      <c r="J66" s="9">
        <f>IF(9&lt;=$H$30,$I$30,0)</f>
        <v>0.0</v>
      </c>
      <c r="K66" s="9">
        <f>IF(10&lt;=$H$30,$I$30,0)</f>
        <v>0.0</v>
      </c>
    </row>
    <row r="67" spans="1:11" ht="18" customHeight="1">
      <c r="A67" s="5" t="s">
        <v>426</v>
      </c>
      <c r="B67" s="9">
        <f>IF(1&lt;=$H$31,$I$31,0)</f>
        <v>2475.0</v>
      </c>
      <c r="C67" s="9">
        <f>IF(2&lt;=$H$31,$I$31,0)</f>
        <v>2475.0</v>
      </c>
      <c r="D67" s="9">
        <f>IF(3&lt;=$H$31,$I$31,0)</f>
        <v>2475.0</v>
      </c>
      <c r="E67" s="9">
        <f>IF(4&lt;=$H$31,$I$31,0)</f>
        <v>2475.0</v>
      </c>
      <c r="F67" s="9">
        <f>IF(5&lt;=$H$31,$I$31,0)</f>
        <v>0.0</v>
      </c>
      <c r="G67" s="9">
        <f>IF(6&lt;=$H$31,$I$31,0)</f>
        <v>0.0</v>
      </c>
      <c r="H67" s="9">
        <f>IF(7&lt;=$H$31,$I$31,0)</f>
        <v>0.0</v>
      </c>
      <c r="I67" s="9">
        <f>IF(8&lt;=$H$31,$I$31,0)</f>
        <v>0.0</v>
      </c>
      <c r="J67" s="9">
        <f>IF(9&lt;=$H$31,$I$31,0)</f>
        <v>0.0</v>
      </c>
      <c r="K67" s="9">
        <f>IF(10&lt;=$H$31,$I$31,0)</f>
        <v>0.0</v>
      </c>
    </row>
    <row r="68" spans="1:11" ht="18" customHeight="1">
      <c r="A68" s="5" t="s">
        <v>427</v>
      </c>
      <c r="B68" s="9">
        <f>IF(1&lt;=$H$32,$I$32,0)</f>
        <v>1485.0</v>
      </c>
      <c r="C68" s="9">
        <f>IF(2&lt;=$H$32,$I$32,0)</f>
        <v>1485.0</v>
      </c>
      <c r="D68" s="9">
        <f>IF(3&lt;=$H$32,$I$32,0)</f>
        <v>1485.0</v>
      </c>
      <c r="E68" s="9">
        <f>IF(4&lt;=$H$32,$I$32,0)</f>
        <v>1485.0</v>
      </c>
      <c r="F68" s="9">
        <f>IF(5&lt;=$H$32,$I$32,0)</f>
        <v>0.0</v>
      </c>
      <c r="G68" s="9">
        <f>IF(6&lt;=$H$32,$I$32,0)</f>
        <v>0.0</v>
      </c>
      <c r="H68" s="9">
        <f>IF(7&lt;=$H$32,$I$32,0)</f>
        <v>0.0</v>
      </c>
      <c r="I68" s="9">
        <f>IF(8&lt;=$H$32,$I$32,0)</f>
        <v>0.0</v>
      </c>
      <c r="J68" s="9">
        <f>IF(9&lt;=$H$32,$I$32,0)</f>
        <v>0.0</v>
      </c>
      <c r="K68" s="9">
        <f>IF(10&lt;=$H$32,$I$32,0)</f>
        <v>0.0</v>
      </c>
    </row>
    <row r="69" spans="1:11" ht="18" customHeight="1">
      <c r="A69" s="5" t="s">
        <v>428</v>
      </c>
      <c r="B69" s="9">
        <f>IF(1&lt;=$H$33,$I$33,0)</f>
        <v>990.0</v>
      </c>
      <c r="C69" s="9">
        <f>IF(2&lt;=$H$33,$I$33,0)</f>
        <v>990.0</v>
      </c>
      <c r="D69" s="9">
        <f>IF(3&lt;=$H$33,$I$33,0)</f>
        <v>990.0</v>
      </c>
      <c r="E69" s="9">
        <f>IF(4&lt;=$H$33,$I$33,0)</f>
        <v>990.0</v>
      </c>
      <c r="F69" s="9">
        <f>IF(5&lt;=$H$33,$I$33,0)</f>
        <v>0.0</v>
      </c>
      <c r="G69" s="9">
        <f>IF(6&lt;=$H$33,$I$33,0)</f>
        <v>0.0</v>
      </c>
      <c r="H69" s="9">
        <f>IF(7&lt;=$H$33,$I$33,0)</f>
        <v>0.0</v>
      </c>
      <c r="I69" s="9">
        <f>IF(8&lt;=$H$33,$I$33,0)</f>
        <v>0.0</v>
      </c>
      <c r="J69" s="9">
        <f>IF(9&lt;=$H$33,$I$33,0)</f>
        <v>0.0</v>
      </c>
      <c r="K69" s="9">
        <f>IF(10&lt;=$H$33,$I$33,0)</f>
        <v>0.0</v>
      </c>
    </row>
    <row r="70" spans="1:11" ht="18" customHeight="1">
      <c r="A70" s="5" t="s">
        <v>429</v>
      </c>
      <c r="B70" s="9">
        <f>IF(1&lt;=$H$38,$I$38,0)</f>
        <v>3564.0</v>
      </c>
      <c r="C70" s="9">
        <f>IF(2&lt;=$H$38,$I$38,0)</f>
        <v>3564.0</v>
      </c>
      <c r="D70" s="9">
        <f>IF(3&lt;=$H$38,$I$38,0)</f>
        <v>3564.0</v>
      </c>
      <c r="E70" s="9">
        <f>IF(4&lt;=$H$38,$I$38,0)</f>
        <v>3564.0</v>
      </c>
      <c r="F70" s="9">
        <f>IF(5&lt;=$H$38,$I$38,0)</f>
        <v>3564.0</v>
      </c>
      <c r="G70" s="9">
        <f>IF(6&lt;=$H$38,$I$38,0)</f>
        <v>0.0</v>
      </c>
      <c r="H70" s="9">
        <f>IF(7&lt;=$H$38,$I$38,0)</f>
        <v>0.0</v>
      </c>
      <c r="I70" s="9">
        <f>IF(8&lt;=$H$38,$I$38,0)</f>
        <v>0.0</v>
      </c>
      <c r="J70" s="9">
        <f>IF(9&lt;=$H$38,$I$38,0)</f>
        <v>0.0</v>
      </c>
      <c r="K70" s="9">
        <f>IF(10&lt;=$H$38,$I$38,0)</f>
        <v>0.0</v>
      </c>
    </row>
    <row r="71" spans="1:11" ht="18" customHeight="1">
      <c r="A71" s="5" t="s">
        <v>430</v>
      </c>
      <c r="B71" s="9">
        <f>IF(1&lt;=$H$39,$I$39,0)</f>
        <v>792.0</v>
      </c>
      <c r="C71" s="9">
        <f>IF(2&lt;=$H$39,$I$39,0)</f>
        <v>792.0</v>
      </c>
      <c r="D71" s="9">
        <f>IF(3&lt;=$H$39,$I$39,0)</f>
        <v>792.0</v>
      </c>
      <c r="E71" s="9">
        <f>IF(4&lt;=$H$39,$I$39,0)</f>
        <v>792.0</v>
      </c>
      <c r="F71" s="9">
        <f>IF(5&lt;=$H$39,$I$39,0)</f>
        <v>792.0</v>
      </c>
      <c r="G71" s="9">
        <f>IF(6&lt;=$H$39,$I$39,0)</f>
        <v>0.0</v>
      </c>
      <c r="H71" s="9">
        <f>IF(7&lt;=$H$39,$I$39,0)</f>
        <v>0.0</v>
      </c>
      <c r="I71" s="9">
        <f>IF(8&lt;=$H$39,$I$39,0)</f>
        <v>0.0</v>
      </c>
      <c r="J71" s="9">
        <f>IF(9&lt;=$H$39,$I$39,0)</f>
        <v>0.0</v>
      </c>
      <c r="K71" s="9">
        <f>IF(10&lt;=$H$39,$I$39,0)</f>
        <v>0.0</v>
      </c>
    </row>
    <row r="72" spans="1:11" ht="18" customHeight="1">
      <c r="A72" s="5" t="s">
        <v>431</v>
      </c>
      <c r="B72" s="9">
        <f>IF(1&lt;=$H$40,$I$40,0)</f>
        <v>1188.0</v>
      </c>
      <c r="C72" s="9">
        <f>IF(2&lt;=$H$40,$I$40,0)</f>
        <v>1188.0</v>
      </c>
      <c r="D72" s="9">
        <f>IF(3&lt;=$H$40,$I$40,0)</f>
        <v>1188.0</v>
      </c>
      <c r="E72" s="9">
        <f>IF(4&lt;=$H$40,$I$40,0)</f>
        <v>1188.0</v>
      </c>
      <c r="F72" s="9">
        <f>IF(5&lt;=$H$40,$I$40,0)</f>
        <v>1188.0</v>
      </c>
      <c r="G72" s="9">
        <f>IF(6&lt;=$H$40,$I$40,0)</f>
        <v>0.0</v>
      </c>
      <c r="H72" s="9">
        <f>IF(7&lt;=$H$40,$I$40,0)</f>
        <v>0.0</v>
      </c>
      <c r="I72" s="9">
        <f>IF(8&lt;=$H$40,$I$40,0)</f>
        <v>0.0</v>
      </c>
      <c r="J72" s="9">
        <f>IF(9&lt;=$H$40,$I$40,0)</f>
        <v>0.0</v>
      </c>
      <c r="K72" s="9">
        <f>IF(10&lt;=$H$40,$I$40,0)</f>
        <v>0.0</v>
      </c>
    </row>
    <row r="73" spans="1:11" ht="18" customHeight="1">
      <c r="A73" s="5" t="s">
        <v>432</v>
      </c>
      <c r="B73" s="9">
        <f>IF(1&lt;=$H$41,$I$41,0)</f>
        <v>792.0</v>
      </c>
      <c r="C73" s="9">
        <f>IF(2&lt;=$H$41,$I$41,0)</f>
        <v>792.0</v>
      </c>
      <c r="D73" s="9">
        <f>IF(3&lt;=$H$41,$I$41,0)</f>
        <v>792.0</v>
      </c>
      <c r="E73" s="9">
        <f>IF(4&lt;=$H$41,$I$41,0)</f>
        <v>792.0</v>
      </c>
      <c r="F73" s="9">
        <f>IF(5&lt;=$H$41,$I$41,0)</f>
        <v>792.0</v>
      </c>
      <c r="G73" s="9">
        <f>IF(6&lt;=$H$41,$I$41,0)</f>
        <v>0.0</v>
      </c>
      <c r="H73" s="9">
        <f>IF(7&lt;=$H$41,$I$41,0)</f>
        <v>0.0</v>
      </c>
      <c r="I73" s="9">
        <f>IF(8&lt;=$H$41,$I$41,0)</f>
        <v>0.0</v>
      </c>
      <c r="J73" s="9">
        <f>IF(9&lt;=$H$41,$I$41,0)</f>
        <v>0.0</v>
      </c>
      <c r="K73" s="9">
        <f>IF(10&lt;=$H$41,$I$41,0)</f>
        <v>0.0</v>
      </c>
    </row>
    <row r="74" spans="1:11" ht="18" customHeight="1">
      <c r="A74" s="5" t="s">
        <v>433</v>
      </c>
      <c r="B74" s="9">
        <f>IF(1&lt;=$H$46,$I$46,0)</f>
        <v>1188.0</v>
      </c>
      <c r="C74" s="9">
        <f>IF(2&lt;=$H$46,$I$46,0)</f>
        <v>1188.0</v>
      </c>
      <c r="D74" s="9">
        <f>IF(3&lt;=$H$46,$I$46,0)</f>
        <v>1188.0</v>
      </c>
      <c r="E74" s="9">
        <f>IF(4&lt;=$H$46,$I$46,0)</f>
        <v>1188.0</v>
      </c>
      <c r="F74" s="9">
        <f>IF(5&lt;=$H$46,$I$46,0)</f>
        <v>1188.0</v>
      </c>
      <c r="G74" s="9">
        <f>IF(6&lt;=$H$46,$I$46,0)</f>
        <v>0.0</v>
      </c>
      <c r="H74" s="9">
        <f>IF(7&lt;=$H$46,$I$46,0)</f>
        <v>0.0</v>
      </c>
      <c r="I74" s="9">
        <f>IF(8&lt;=$H$46,$I$46,0)</f>
        <v>0.0</v>
      </c>
      <c r="J74" s="9">
        <f>IF(9&lt;=$H$46,$I$46,0)</f>
        <v>0.0</v>
      </c>
      <c r="K74" s="9">
        <f>IF(10&lt;=$H$46,$I$46,0)</f>
        <v>0.0</v>
      </c>
    </row>
    <row r="75" spans="1:11" ht="18" customHeight="1">
      <c r="A75" s="5" t="s">
        <v>434</v>
      </c>
      <c r="B75" s="9">
        <f>IF(1&lt;=$H$47,$I$47,0)</f>
        <v>594.0</v>
      </c>
      <c r="C75" s="9">
        <f>IF(2&lt;=$H$47,$I$47,0)</f>
        <v>594.0</v>
      </c>
      <c r="D75" s="9">
        <f>IF(3&lt;=$H$47,$I$47,0)</f>
        <v>594.0</v>
      </c>
      <c r="E75" s="9">
        <f>IF(4&lt;=$H$47,$I$47,0)</f>
        <v>594.0</v>
      </c>
      <c r="F75" s="9">
        <f>IF(5&lt;=$H$47,$I$47,0)</f>
        <v>594.0</v>
      </c>
      <c r="G75" s="9">
        <f>IF(6&lt;=$H$47,$I$47,0)</f>
        <v>0.0</v>
      </c>
      <c r="H75" s="9">
        <f>IF(7&lt;=$H$47,$I$47,0)</f>
        <v>0.0</v>
      </c>
      <c r="I75" s="9">
        <f>IF(8&lt;=$H$47,$I$47,0)</f>
        <v>0.0</v>
      </c>
      <c r="J75" s="9">
        <f>IF(9&lt;=$H$47,$I$47,0)</f>
        <v>0.0</v>
      </c>
      <c r="K75" s="9">
        <f>IF(10&lt;=$H$47,$I$47,0)</f>
        <v>0.0</v>
      </c>
    </row>
    <row r="76" spans="1:11" ht="18" customHeight="1">
      <c r="A76" s="5" t="s">
        <v>435</v>
      </c>
      <c r="B76" s="9">
        <f>IF(1&lt;=$H$48,$I$48,0)</f>
        <v>792.0</v>
      </c>
      <c r="C76" s="9">
        <f>IF(2&lt;=$H$48,$I$48,0)</f>
        <v>792.0</v>
      </c>
      <c r="D76" s="9">
        <f>IF(3&lt;=$H$48,$I$48,0)</f>
        <v>792.0</v>
      </c>
      <c r="E76" s="9">
        <f>IF(4&lt;=$H$48,$I$48,0)</f>
        <v>792.0</v>
      </c>
      <c r="F76" s="9">
        <f>IF(5&lt;=$H$48,$I$48,0)</f>
        <v>792.0</v>
      </c>
      <c r="G76" s="9">
        <f>IF(6&lt;=$H$48,$I$48,0)</f>
        <v>0.0</v>
      </c>
      <c r="H76" s="9">
        <f>IF(7&lt;=$H$48,$I$48,0)</f>
        <v>0.0</v>
      </c>
      <c r="I76" s="9">
        <f>IF(8&lt;=$H$48,$I$48,0)</f>
        <v>0.0</v>
      </c>
      <c r="J76" s="9">
        <f>IF(9&lt;=$H$48,$I$48,0)</f>
        <v>0.0</v>
      </c>
      <c r="K76" s="9">
        <f>IF(10&lt;=$H$48,$I$48,0)</f>
        <v>0.0</v>
      </c>
    </row>
    <row r="77" spans="1:11" ht="18" customHeight="1">
      <c r="A77" s="5" t="s">
        <v>436</v>
      </c>
      <c r="B77" s="9">
        <f>IF(1&lt;=$H$49,$I$49,0)</f>
        <v>396.0</v>
      </c>
      <c r="C77" s="9">
        <f>IF(2&lt;=$H$49,$I$49,0)</f>
        <v>396.0</v>
      </c>
      <c r="D77" s="9">
        <f>IF(3&lt;=$H$49,$I$49,0)</f>
        <v>396.0</v>
      </c>
      <c r="E77" s="9">
        <f>IF(4&lt;=$H$49,$I$49,0)</f>
        <v>396.0</v>
      </c>
      <c r="F77" s="9">
        <f>IF(5&lt;=$H$49,$I$49,0)</f>
        <v>396.0</v>
      </c>
      <c r="G77" s="9">
        <f>IF(6&lt;=$H$49,$I$49,0)</f>
        <v>0.0</v>
      </c>
      <c r="H77" s="9">
        <f>IF(7&lt;=$H$49,$I$49,0)</f>
        <v>0.0</v>
      </c>
      <c r="I77" s="9">
        <f>IF(8&lt;=$H$49,$I$49,0)</f>
        <v>0.0</v>
      </c>
      <c r="J77" s="9">
        <f>IF(9&lt;=$H$49,$I$49,0)</f>
        <v>0.0</v>
      </c>
      <c r="K77" s="9">
        <f>IF(10&lt;=$H$49,$I$49,0)</f>
        <v>0.0</v>
      </c>
    </row>
    <row r="78" spans="1:11" ht="18" customHeight="1">
      <c r="A78" s="5" t="s">
        <v>437</v>
      </c>
      <c r="B78" s="9">
        <f>IF(1&lt;=$H$50,$I$50,0)</f>
        <v>990.0</v>
      </c>
      <c r="C78" s="9">
        <f>IF(2&lt;=$H$50,$I$50,0)</f>
        <v>990.0</v>
      </c>
      <c r="D78" s="9">
        <f>IF(3&lt;=$H$50,$I$50,0)</f>
        <v>990.0</v>
      </c>
      <c r="E78" s="9">
        <f>IF(4&lt;=$H$50,$I$50,0)</f>
        <v>990.0</v>
      </c>
      <c r="F78" s="9">
        <f>IF(5&lt;=$H$50,$I$50,0)</f>
        <v>990.0</v>
      </c>
      <c r="G78" s="9">
        <f>IF(6&lt;=$H$50,$I$50,0)</f>
        <v>0.0</v>
      </c>
      <c r="H78" s="9">
        <f>IF(7&lt;=$H$50,$I$50,0)</f>
        <v>0.0</v>
      </c>
      <c r="I78" s="9">
        <f>IF(8&lt;=$H$50,$I$50,0)</f>
        <v>0.0</v>
      </c>
      <c r="J78" s="9">
        <f>IF(9&lt;=$H$50,$I$50,0)</f>
        <v>0.0</v>
      </c>
      <c r="K78" s="9">
        <f>IF(10&lt;=$H$50,$I$50,0)</f>
        <v>0.0</v>
      </c>
    </row>
    <row r="79" spans="1:11" ht="18" customHeight="1">
      <c r="A79" s="5" t="s">
        <v>438</v>
      </c>
      <c r="B79" s="9">
        <f>IF(1&lt;=$H$55,$I$55,0)</f>
        <v>712.8</v>
      </c>
      <c r="C79" s="9">
        <f>IF(2&lt;=$H$55,$I$55,0)</f>
        <v>712.8</v>
      </c>
      <c r="D79" s="9">
        <f>IF(3&lt;=$H$55,$I$55,0)</f>
        <v>712.8</v>
      </c>
      <c r="E79" s="9">
        <f>IF(4&lt;=$H$55,$I$55,0)</f>
        <v>712.8</v>
      </c>
      <c r="F79" s="9">
        <f>IF(5&lt;=$H$55,$I$55,0)</f>
        <v>712.8</v>
      </c>
      <c r="G79" s="9">
        <f>IF(6&lt;=$H$55,$I$55,0)</f>
        <v>712.8</v>
      </c>
      <c r="H79" s="9">
        <f>IF(7&lt;=$H$55,$I$55,0)</f>
        <v>712.8</v>
      </c>
      <c r="I79" s="9">
        <f>IF(8&lt;=$H$55,$I$55,0)</f>
        <v>712.8</v>
      </c>
      <c r="J79" s="9">
        <f>IF(9&lt;=$H$55,$I$55,0)</f>
        <v>712.8</v>
      </c>
      <c r="K79" s="9">
        <f>IF(10&lt;=$H$55,$I$55,0)</f>
        <v>712.8</v>
      </c>
    </row>
    <row r="80" spans="1:11" ht="18" customHeight="1">
      <c r="A80" s="5" t="s">
        <v>439</v>
      </c>
      <c r="B80" s="9">
        <f>IF(1&lt;=$H$56,$I$56,0)</f>
        <v>475.2</v>
      </c>
      <c r="C80" s="9">
        <f>IF(2&lt;=$H$56,$I$56,0)</f>
        <v>475.2</v>
      </c>
      <c r="D80" s="9">
        <f>IF(3&lt;=$H$56,$I$56,0)</f>
        <v>475.2</v>
      </c>
      <c r="E80" s="9">
        <f>IF(4&lt;=$H$56,$I$56,0)</f>
        <v>475.2</v>
      </c>
      <c r="F80" s="9">
        <f>IF(5&lt;=$H$56,$I$56,0)</f>
        <v>475.2</v>
      </c>
      <c r="G80" s="9">
        <f>IF(6&lt;=$H$56,$I$56,0)</f>
        <v>475.2</v>
      </c>
      <c r="H80" s="9">
        <f>IF(7&lt;=$H$56,$I$56,0)</f>
        <v>475.2</v>
      </c>
      <c r="I80" s="9">
        <f>IF(8&lt;=$H$56,$I$56,0)</f>
        <v>475.2</v>
      </c>
      <c r="J80" s="9">
        <f>IF(9&lt;=$H$56,$I$56,0)</f>
        <v>475.2</v>
      </c>
      <c r="K80" s="9">
        <f>IF(10&lt;=$H$56,$I$56,0)</f>
        <v>475.2</v>
      </c>
    </row>
    <row r="81" spans="1:11" ht="18" customHeight="1">
      <c r="A81" s="5" t="s">
        <v>440</v>
      </c>
      <c r="B81" s="9">
        <f>IF(1&lt;=$H$57,$I$57,0)</f>
        <v>198.0</v>
      </c>
      <c r="C81" s="9">
        <f>IF(2&lt;=$H$57,$I$57,0)</f>
        <v>198.0</v>
      </c>
      <c r="D81" s="9">
        <f>IF(3&lt;=$H$57,$I$57,0)</f>
        <v>198.0</v>
      </c>
      <c r="E81" s="9">
        <f>IF(4&lt;=$H$57,$I$57,0)</f>
        <v>198.0</v>
      </c>
      <c r="F81" s="9">
        <f>IF(5&lt;=$H$57,$I$57,0)</f>
        <v>198.0</v>
      </c>
      <c r="G81" s="9">
        <f>IF(6&lt;=$H$57,$I$57,0)</f>
        <v>198.0</v>
      </c>
      <c r="H81" s="9">
        <f>IF(7&lt;=$H$57,$I$57,0)</f>
        <v>198.0</v>
      </c>
      <c r="I81" s="9">
        <f>IF(8&lt;=$H$57,$I$57,0)</f>
        <v>198.0</v>
      </c>
      <c r="J81" s="9">
        <f>IF(9&lt;=$H$57,$I$57,0)</f>
        <v>198.0</v>
      </c>
      <c r="K81" s="9">
        <f>IF(10&lt;=$H$57,$I$57,0)</f>
        <v>198.0</v>
      </c>
    </row>
    <row r="82" spans="1:11" ht="18" customHeight="1">
      <c r="A82" s="5" t="s">
        <v>441</v>
      </c>
      <c r="B82" s="9">
        <f>IF(1&lt;=$H$58,$I$58,0)</f>
        <v>297.0</v>
      </c>
      <c r="C82" s="9">
        <f>IF(2&lt;=$H$58,$I$58,0)</f>
        <v>297.0</v>
      </c>
      <c r="D82" s="9">
        <f>IF(3&lt;=$H$58,$I$58,0)</f>
        <v>297.0</v>
      </c>
      <c r="E82" s="9">
        <f>IF(4&lt;=$H$58,$I$58,0)</f>
        <v>297.0</v>
      </c>
      <c r="F82" s="9">
        <f>IF(5&lt;=$H$58,$I$58,0)</f>
        <v>297.0</v>
      </c>
      <c r="G82" s="9">
        <f>IF(6&lt;=$H$58,$I$58,0)</f>
        <v>297.0</v>
      </c>
      <c r="H82" s="9">
        <f>IF(7&lt;=$H$58,$I$58,0)</f>
        <v>297.0</v>
      </c>
      <c r="I82" s="9">
        <f>IF(8&lt;=$H$58,$I$58,0)</f>
        <v>297.0</v>
      </c>
      <c r="J82" s="9">
        <f>IF(9&lt;=$H$58,$I$58,0)</f>
        <v>297.0</v>
      </c>
      <c r="K82" s="9">
        <f>IF(10&lt;=$H$58,$I$58,0)</f>
        <v>297.0</v>
      </c>
    </row>
    <row r="83" spans="1:11" ht="18" customHeight="1">
      <c r="A83" s="5" t="s">
        <v>442</v>
      </c>
      <c r="B83" s="9">
        <f>IF(1&lt;=$H$59,$I$59,0)</f>
        <v>99.0</v>
      </c>
      <c r="C83" s="9">
        <f>IF(2&lt;=$H$59,$I$59,0)</f>
        <v>99.0</v>
      </c>
      <c r="D83" s="9">
        <f>IF(3&lt;=$H$59,$I$59,0)</f>
        <v>99.0</v>
      </c>
      <c r="E83" s="9">
        <f>IF(4&lt;=$H$59,$I$59,0)</f>
        <v>99.0</v>
      </c>
      <c r="F83" s="9">
        <f>IF(5&lt;=$H$59,$I$59,0)</f>
        <v>99.0</v>
      </c>
      <c r="G83" s="9">
        <f>IF(6&lt;=$H$59,$I$59,0)</f>
        <v>99.0</v>
      </c>
      <c r="H83" s="9">
        <f>IF(7&lt;=$H$59,$I$59,0)</f>
        <v>99.0</v>
      </c>
      <c r="I83" s="9">
        <f>IF(8&lt;=$H$59,$I$59,0)</f>
        <v>99.0</v>
      </c>
      <c r="J83" s="9">
        <f>IF(9&lt;=$H$59,$I$59,0)</f>
        <v>99.0</v>
      </c>
      <c r="K83" s="9">
        <f>IF(10&lt;=$H$59,$I$59,0)</f>
        <v>99.0</v>
      </c>
    </row>
    <row r="84" spans="1:11" ht="18" customHeight="1">
      <c r="A84" s="8" t="s">
        <v>443</v>
      </c>
      <c r="B84" s="8">
        <f>SUM(B66:B83)</f>
        <v>23958.0</v>
      </c>
      <c r="C84" s="8">
        <f>SUM(C66:C83)</f>
        <v>23958.0</v>
      </c>
      <c r="D84" s="8">
        <f>SUM(D66:D83)</f>
        <v>23958.0</v>
      </c>
      <c r="E84" s="8">
        <f>SUM(E66:E83)</f>
        <v>23958.0</v>
      </c>
      <c r="F84" s="8">
        <f>SUM(F66:F83)</f>
        <v>12078.0</v>
      </c>
      <c r="G84" s="8">
        <f>SUM(G66:G83)</f>
        <v>1782.0</v>
      </c>
      <c r="H84" s="8">
        <f>SUM(H66:H83)</f>
        <v>1782.0</v>
      </c>
      <c r="I84" s="8">
        <f>SUM(I66:I83)</f>
        <v>1782.0</v>
      </c>
      <c r="J84" s="8">
        <f>SUM(J66:J83)</f>
        <v>1782.0</v>
      </c>
      <c r="K84" s="8">
        <f>SUM(K66:K83)</f>
        <v>1782.0</v>
      </c>
    </row>
    <row r="86" spans="1:11" ht="20" customHeight="1">
      <c r="A86" s="3" t="s">
        <v>444</v>
      </c>
      <c r="B86" s="3"/>
      <c r="C86" s="3"/>
      <c r="D86" s="3"/>
      <c r="E86" s="3"/>
      <c r="F86" s="3"/>
      <c r="G86" s="3"/>
      <c r="H86" s="3"/>
      <c r="I86" s="3"/>
      <c r="J86" s="3"/>
      <c r="K86" s="3"/>
    </row>
    <row r="87" spans="1:11" ht="18" customHeight="1">
      <c r="A87" s="4" t="s">
        <v>373</v>
      </c>
      <c r="B87" s="4" t="s">
        <v>390</v>
      </c>
      <c r="C87" s="4" t="s">
        <v>391</v>
      </c>
      <c r="D87" s="4" t="s">
        <v>392</v>
      </c>
      <c r="E87" s="4" t="s">
        <v>393</v>
      </c>
      <c r="F87" s="4" t="s">
        <v>394</v>
      </c>
      <c r="G87" s="4" t="s">
        <v>445</v>
      </c>
      <c r="H87" s="4" t="s">
        <v>374</v>
      </c>
      <c r="I87" s="4" t="s">
        <v>386</v>
      </c>
      <c r="J87" s="4" t="s">
        <v>446</v>
      </c>
      <c r="K87" s="4" t="s">
        <v>397</v>
      </c>
    </row>
    <row r="88" spans="1:11" ht="18" customHeight="1">
      <c r="A88" s="5" t="s">
        <v>382</v>
      </c>
      <c r="B88" s="6">
        <v>1</v>
      </c>
      <c r="C88" s="9">
        <v>8000</v>
      </c>
      <c r="D88" s="9">
        <f>B88*C88</f>
        <v>8000.0</v>
      </c>
      <c r="E88" s="11">
        <v>0</v>
      </c>
      <c r="F88" s="9">
        <f>D88*E88</f>
        <v>0.0</v>
      </c>
      <c r="G88" s="9">
        <f>D88-F88</f>
        <v>8000.0</v>
      </c>
      <c r="H88" s="6">
        <v>5</v>
      </c>
      <c r="I88" s="9">
        <f>G88/H88</f>
        <v>1600.0</v>
      </c>
      <c r="J88" s="9">
        <f>I88*MIN(10,H88)</f>
        <v>8000.0</v>
      </c>
      <c r="K88" s="9">
        <f>MAX(F88,D88-J88)</f>
        <v>0.0</v>
      </c>
    </row>
    <row r="89" spans="1:11" ht="18" customHeight="1">
      <c r="A89" s="5" t="s">
        <v>383</v>
      </c>
      <c r="B89" s="6">
        <v>1</v>
      </c>
      <c r="C89" s="9">
        <v>90000</v>
      </c>
      <c r="D89" s="9">
        <f>B89*C89</f>
        <v>90000.0</v>
      </c>
      <c r="E89" s="11">
        <v>0</v>
      </c>
      <c r="F89" s="9">
        <f>D89*E89</f>
        <v>0.0</v>
      </c>
      <c r="G89" s="9">
        <f>D89-F89</f>
        <v>90000.0</v>
      </c>
      <c r="H89" s="6">
        <v>5</v>
      </c>
      <c r="I89" s="9">
        <f>G89/H89</f>
        <v>18000.0</v>
      </c>
      <c r="J89" s="9">
        <f>I89*MIN(10,H89)</f>
        <v>90000.0</v>
      </c>
      <c r="K89" s="9">
        <f>MAX(F89,D89-J89)</f>
        <v>0.0</v>
      </c>
    </row>
    <row r="90" spans="1:11" ht="18" customHeight="1">
      <c r="A90" s="5" t="s">
        <v>384</v>
      </c>
      <c r="B90" s="6">
        <v>1</v>
      </c>
      <c r="C90" s="9">
        <v>22000</v>
      </c>
      <c r="D90" s="9">
        <f>B90*C90</f>
        <v>22000.0</v>
      </c>
      <c r="E90" s="11">
        <v>0</v>
      </c>
      <c r="F90" s="9">
        <f>D90*E90</f>
        <v>0.0</v>
      </c>
      <c r="G90" s="9">
        <f>D90-F90</f>
        <v>22000.0</v>
      </c>
      <c r="H90" s="6">
        <v>5</v>
      </c>
      <c r="I90" s="9">
        <f>G90/H90</f>
        <v>4400.0</v>
      </c>
      <c r="J90" s="9">
        <f>I90*MIN(10,H90)</f>
        <v>22000.0</v>
      </c>
      <c r="K90" s="9">
        <f>MAX(F90,D90-J90)</f>
        <v>0.0</v>
      </c>
    </row>
    <row r="91" spans="1:11" ht="18" customHeight="1">
      <c r="A91" s="5" t="s">
        <v>385</v>
      </c>
      <c r="B91" s="6">
        <v>1</v>
      </c>
      <c r="C91" s="9">
        <v>12000</v>
      </c>
      <c r="D91" s="9">
        <f>B91*C91</f>
        <v>12000.0</v>
      </c>
      <c r="E91" s="11">
        <v>0</v>
      </c>
      <c r="F91" s="9">
        <f>D91*E91</f>
        <v>0.0</v>
      </c>
      <c r="G91" s="9">
        <f>D91-F91</f>
        <v>12000.0</v>
      </c>
      <c r="H91" s="6">
        <v>5</v>
      </c>
      <c r="I91" s="9">
        <f>G91/H91</f>
        <v>2400.0</v>
      </c>
      <c r="J91" s="9">
        <f>I91*MIN(10,H91)</f>
        <v>12000.0</v>
      </c>
      <c r="K91" s="9">
        <f>MAX(F91,D91-J91)</f>
        <v>0.0</v>
      </c>
    </row>
    <row r="92" spans="1:11" ht="18" customHeight="1">
      <c r="A92" s="8" t="s">
        <v>447</v>
      </c>
      <c r="D92" s="8">
        <f>SUM(D88:D91)</f>
        <v>132000.0</v>
      </c>
      <c r="F92" s="8">
        <f>SUM(F88:F91)</f>
        <v>0.0</v>
      </c>
      <c r="G92" s="8">
        <f>SUM(G88:G91)</f>
        <v>132000.0</v>
      </c>
      <c r="I92" s="8">
        <f>SUM(I88:I91)</f>
        <v>26400.0</v>
      </c>
      <c r="J92" s="8">
        <f>SUM(J88:J91)</f>
        <v>132000.0</v>
      </c>
      <c r="K92" s="8">
        <f>SUM(K88:K91)</f>
        <v>0.0</v>
      </c>
    </row>
    <row r="94" spans="1:11" ht="20" customHeight="1">
      <c r="A94" s="3" t="s">
        <v>448</v>
      </c>
      <c r="B94" s="3"/>
      <c r="C94" s="3"/>
      <c r="D94" s="3"/>
      <c r="E94" s="3"/>
      <c r="F94" s="3"/>
      <c r="G94" s="3"/>
      <c r="H94" s="3"/>
      <c r="I94" s="3"/>
      <c r="J94" s="3"/>
      <c r="K94" s="3"/>
    </row>
    <row r="95" spans="1:11" ht="20" customHeight="1">
      <c r="A95" s="4" t="s">
        <v>3</v>
      </c>
      <c r="B95" s="4" t="s">
        <v>4</v>
      </c>
      <c r="C95" s="4" t="s">
        <v>5</v>
      </c>
      <c r="D95" s="4" t="s">
        <v>6</v>
      </c>
      <c r="E95" s="4" t="s">
        <v>7</v>
      </c>
      <c r="F95" s="4" t="s">
        <v>8</v>
      </c>
      <c r="G95" s="4" t="s">
        <v>9</v>
      </c>
      <c r="H95" s="4" t="s">
        <v>10</v>
      </c>
      <c r="I95" s="4" t="s">
        <v>11</v>
      </c>
      <c r="J95" s="4" t="s">
        <v>12</v>
      </c>
      <c r="K95" s="4" t="s">
        <v>13</v>
      </c>
    </row>
    <row r="96" spans="1:11" ht="18" customHeight="1">
      <c r="A96" s="5" t="s">
        <v>449</v>
      </c>
      <c r="B96" s="9">
        <f>IF(1&lt;=$H$88,$I$88,0)</f>
        <v>1600.0</v>
      </c>
      <c r="C96" s="9">
        <f>IF(2&lt;=$H$88,$I$88,0)</f>
        <v>1600.0</v>
      </c>
      <c r="D96" s="9">
        <f>IF(3&lt;=$H$88,$I$88,0)</f>
        <v>1600.0</v>
      </c>
      <c r="E96" s="9">
        <f>IF(4&lt;=$H$88,$I$88,0)</f>
        <v>1600.0</v>
      </c>
      <c r="F96" s="9">
        <f>IF(5&lt;=$H$88,$I$88,0)</f>
        <v>1600.0</v>
      </c>
      <c r="G96" s="9">
        <f>IF(6&lt;=$H$88,$I$88,0)</f>
        <v>0.0</v>
      </c>
      <c r="H96" s="9">
        <f>IF(7&lt;=$H$88,$I$88,0)</f>
        <v>0.0</v>
      </c>
      <c r="I96" s="9">
        <f>IF(8&lt;=$H$88,$I$88,0)</f>
        <v>0.0</v>
      </c>
      <c r="J96" s="9">
        <f>IF(9&lt;=$H$88,$I$88,0)</f>
        <v>0.0</v>
      </c>
      <c r="K96" s="9">
        <f>IF(10&lt;=$H$88,$I$88,0)</f>
        <v>0.0</v>
      </c>
    </row>
    <row r="97" spans="1:11" ht="18" customHeight="1">
      <c r="A97" s="5" t="s">
        <v>450</v>
      </c>
      <c r="B97" s="9">
        <f>IF(1&lt;=$H$89,$I$89,0)</f>
        <v>18000.0</v>
      </c>
      <c r="C97" s="9">
        <f>IF(2&lt;=$H$89,$I$89,0)</f>
        <v>18000.0</v>
      </c>
      <c r="D97" s="9">
        <f>IF(3&lt;=$H$89,$I$89,0)</f>
        <v>18000.0</v>
      </c>
      <c r="E97" s="9">
        <f>IF(4&lt;=$H$89,$I$89,0)</f>
        <v>18000.0</v>
      </c>
      <c r="F97" s="9">
        <f>IF(5&lt;=$H$89,$I$89,0)</f>
        <v>18000.0</v>
      </c>
      <c r="G97" s="9">
        <f>IF(6&lt;=$H$89,$I$89,0)</f>
        <v>0.0</v>
      </c>
      <c r="H97" s="9">
        <f>IF(7&lt;=$H$89,$I$89,0)</f>
        <v>0.0</v>
      </c>
      <c r="I97" s="9">
        <f>IF(8&lt;=$H$89,$I$89,0)</f>
        <v>0.0</v>
      </c>
      <c r="J97" s="9">
        <f>IF(9&lt;=$H$89,$I$89,0)</f>
        <v>0.0</v>
      </c>
      <c r="K97" s="9">
        <f>IF(10&lt;=$H$89,$I$89,0)</f>
        <v>0.0</v>
      </c>
    </row>
    <row r="98" spans="1:11" ht="18" customHeight="1">
      <c r="A98" s="5" t="s">
        <v>451</v>
      </c>
      <c r="B98" s="9">
        <f>IF(1&lt;=$H$90,$I$90,0)</f>
        <v>4400.0</v>
      </c>
      <c r="C98" s="9">
        <f>IF(2&lt;=$H$90,$I$90,0)</f>
        <v>4400.0</v>
      </c>
      <c r="D98" s="9">
        <f>IF(3&lt;=$H$90,$I$90,0)</f>
        <v>4400.0</v>
      </c>
      <c r="E98" s="9">
        <f>IF(4&lt;=$H$90,$I$90,0)</f>
        <v>4400.0</v>
      </c>
      <c r="F98" s="9">
        <f>IF(5&lt;=$H$90,$I$90,0)</f>
        <v>4400.0</v>
      </c>
      <c r="G98" s="9">
        <f>IF(6&lt;=$H$90,$I$90,0)</f>
        <v>0.0</v>
      </c>
      <c r="H98" s="9">
        <f>IF(7&lt;=$H$90,$I$90,0)</f>
        <v>0.0</v>
      </c>
      <c r="I98" s="9">
        <f>IF(8&lt;=$H$90,$I$90,0)</f>
        <v>0.0</v>
      </c>
      <c r="J98" s="9">
        <f>IF(9&lt;=$H$90,$I$90,0)</f>
        <v>0.0</v>
      </c>
      <c r="K98" s="9">
        <f>IF(10&lt;=$H$90,$I$90,0)</f>
        <v>0.0</v>
      </c>
    </row>
    <row r="99" spans="1:11" ht="18" customHeight="1">
      <c r="A99" s="5" t="s">
        <v>452</v>
      </c>
      <c r="B99" s="9">
        <f>IF(1&lt;=$H$91,$I$91,0)</f>
        <v>2400.0</v>
      </c>
      <c r="C99" s="9">
        <f>IF(2&lt;=$H$91,$I$91,0)</f>
        <v>2400.0</v>
      </c>
      <c r="D99" s="9">
        <f>IF(3&lt;=$H$91,$I$91,0)</f>
        <v>2400.0</v>
      </c>
      <c r="E99" s="9">
        <f>IF(4&lt;=$H$91,$I$91,0)</f>
        <v>2400.0</v>
      </c>
      <c r="F99" s="9">
        <f>IF(5&lt;=$H$91,$I$91,0)</f>
        <v>2400.0</v>
      </c>
      <c r="G99" s="9">
        <f>IF(6&lt;=$H$91,$I$91,0)</f>
        <v>0.0</v>
      </c>
      <c r="H99" s="9">
        <f>IF(7&lt;=$H$91,$I$91,0)</f>
        <v>0.0</v>
      </c>
      <c r="I99" s="9">
        <f>IF(8&lt;=$H$91,$I$91,0)</f>
        <v>0.0</v>
      </c>
      <c r="J99" s="9">
        <f>IF(9&lt;=$H$91,$I$91,0)</f>
        <v>0.0</v>
      </c>
      <c r="K99" s="9">
        <f>IF(10&lt;=$H$91,$I$91,0)</f>
        <v>0.0</v>
      </c>
    </row>
    <row r="100" spans="1:11" ht="18" customHeight="1">
      <c r="A100" s="8" t="s">
        <v>453</v>
      </c>
      <c r="B100" s="8">
        <f>SUM(B96:B99)</f>
        <v>26400.0</v>
      </c>
      <c r="C100" s="8">
        <f>SUM(C96:C99)</f>
        <v>26400.0</v>
      </c>
      <c r="D100" s="8">
        <f>SUM(D96:D99)</f>
        <v>26400.0</v>
      </c>
      <c r="E100" s="8">
        <f>SUM(E96:E99)</f>
        <v>26400.0</v>
      </c>
      <c r="F100" s="8">
        <f>SUM(F96:F99)</f>
        <v>26400.0</v>
      </c>
      <c r="G100" s="8">
        <f>SUM(G96:G99)</f>
        <v>0.0</v>
      </c>
      <c r="H100" s="8">
        <f>SUM(H96:H99)</f>
        <v>0.0</v>
      </c>
      <c r="I100" s="8">
        <f>SUM(I96:I99)</f>
        <v>0.0</v>
      </c>
      <c r="J100" s="8">
        <f>SUM(J96:J99)</f>
        <v>0.0</v>
      </c>
      <c r="K100" s="8">
        <f>SUM(K96:K99)</f>
        <v>0.0</v>
      </c>
    </row>
    <row r="102" spans="1:11" ht="20" customHeight="1">
      <c r="A102" s="3" t="s">
        <v>454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</row>
    <row r="103" spans="1:11" ht="20" customHeight="1">
      <c r="A103" s="4" t="s">
        <v>3</v>
      </c>
      <c r="B103" s="4" t="s">
        <v>4</v>
      </c>
      <c r="C103" s="4" t="s">
        <v>5</v>
      </c>
      <c r="D103" s="4" t="s">
        <v>6</v>
      </c>
      <c r="E103" s="4" t="s">
        <v>7</v>
      </c>
      <c r="F103" s="4" t="s">
        <v>8</v>
      </c>
      <c r="G103" s="4" t="s">
        <v>9</v>
      </c>
      <c r="H103" s="4" t="s">
        <v>10</v>
      </c>
      <c r="I103" s="4" t="s">
        <v>11</v>
      </c>
      <c r="J103" s="4" t="s">
        <v>12</v>
      </c>
      <c r="K103" s="4" t="s">
        <v>13</v>
      </c>
    </row>
    <row r="104" spans="1:11" ht="18" customHeight="1">
      <c r="A104" s="5" t="s">
        <v>455</v>
      </c>
      <c r="B104" s="9">
        <f>B84*$B$111</f>
        <v>14374.8</v>
      </c>
      <c r="C104" s="9">
        <f>C84*$B$111</f>
        <v>14374.8</v>
      </c>
      <c r="D104" s="9">
        <f>D84*$B$111</f>
        <v>14374.8</v>
      </c>
      <c r="E104" s="9">
        <f>E84*$B$111</f>
        <v>14374.8</v>
      </c>
      <c r="F104" s="9">
        <f>F84*$B$111</f>
        <v>7246.8</v>
      </c>
      <c r="G104" s="9">
        <f>G84*$B$111</f>
        <v>1069.2</v>
      </c>
      <c r="H104" s="9">
        <f>H84*$B$111</f>
        <v>1069.2</v>
      </c>
      <c r="I104" s="9">
        <f>I84*$B$111</f>
        <v>1069.2</v>
      </c>
      <c r="J104" s="9">
        <f>J84*$B$111</f>
        <v>1069.2</v>
      </c>
      <c r="K104" s="9">
        <f>K84*$B$111</f>
        <v>1069.2</v>
      </c>
    </row>
    <row r="105" spans="1:11" ht="18" customHeight="1">
      <c r="A105" s="5" t="s">
        <v>356</v>
      </c>
      <c r="B105" s="9">
        <f>B84*$B$112</f>
        <v>9583.2</v>
      </c>
      <c r="C105" s="9">
        <f>C84*$B$112</f>
        <v>9583.2</v>
      </c>
      <c r="D105" s="9">
        <f>D84*$B$112</f>
        <v>9583.2</v>
      </c>
      <c r="E105" s="9">
        <f>E84*$B$112</f>
        <v>9583.2</v>
      </c>
      <c r="F105" s="9">
        <f>F84*$B$112</f>
        <v>4831.2</v>
      </c>
      <c r="G105" s="9">
        <f>G84*$B$112</f>
        <v>712.8</v>
      </c>
      <c r="H105" s="9">
        <f>H84*$B$112</f>
        <v>712.8</v>
      </c>
      <c r="I105" s="9">
        <f>I84*$B$112</f>
        <v>712.8</v>
      </c>
      <c r="J105" s="9">
        <f>J84*$B$112</f>
        <v>712.8</v>
      </c>
      <c r="K105" s="9">
        <f>K84*$B$112</f>
        <v>712.8</v>
      </c>
    </row>
    <row r="106" spans="1:11" ht="18" customHeight="1">
      <c r="A106" s="5" t="s">
        <v>456</v>
      </c>
      <c r="B106" s="9">
        <f>B100</f>
        <v>26400.0</v>
      </c>
      <c r="C106" s="9">
        <f>C100</f>
        <v>26400.0</v>
      </c>
      <c r="D106" s="9">
        <f>D100</f>
        <v>26400.0</v>
      </c>
      <c r="E106" s="9">
        <f>E100</f>
        <v>26400.0</v>
      </c>
      <c r="F106" s="9">
        <f>F100</f>
        <v>26400.0</v>
      </c>
      <c r="G106" s="9">
        <f>G100</f>
        <v>0.0</v>
      </c>
      <c r="H106" s="9">
        <f>H100</f>
        <v>0.0</v>
      </c>
      <c r="I106" s="9">
        <f>I100</f>
        <v>0.0</v>
      </c>
      <c r="J106" s="9">
        <f>J100</f>
        <v>0.0</v>
      </c>
      <c r="K106" s="9">
        <f>K100</f>
        <v>0.0</v>
      </c>
    </row>
    <row r="108" spans="1:11" ht="18" customHeight="1">
      <c r="A108" s="5" t="s">
        <v>457</v>
      </c>
      <c r="B108" s="9">
        <v>35000</v>
      </c>
      <c r="C108" s="13" t="s">
        <v>458</v>
      </c>
    </row>
    <row r="110" spans="1:11" ht="18" customHeight="1">
      <c r="A110" s="3" t="s">
        <v>459</v>
      </c>
    </row>
    <row r="111" spans="1:11" ht="18" customHeight="1">
      <c r="A111" s="5" t="s">
        <v>460</v>
      </c>
      <c r="B111" s="11">
        <v>0.6</v>
      </c>
    </row>
    <row r="112" spans="1:11" ht="18" customHeight="1">
      <c r="A112" s="5" t="s">
        <v>461</v>
      </c>
      <c r="B112" s="11">
        <f>1-B111</f>
        <v>0.4</v>
      </c>
    </row>
  </sheetData>
  <mergeCells count="12">
    <mergeCell ref="A1:L1"/>
    <mergeCell ref="A3:K3"/>
    <mergeCell ref="A15:K15"/>
    <mergeCell ref="A27:K27"/>
    <mergeCell ref="A28:K28"/>
    <mergeCell ref="A36:K36"/>
    <mergeCell ref="A44:K44"/>
    <mergeCell ref="A53:K53"/>
    <mergeCell ref="A64:K64"/>
    <mergeCell ref="A86:K86"/>
    <mergeCell ref="A94:K94"/>
    <mergeCell ref="A102:K102"/>
  </mergeCells>
  <pageMargins left="0.25" right="0.25" top="0.35" bottom="0.3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G46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8" customHeight="1"/>
  <cols>
    <col min="1" max="2" width="24.7109375" customWidth="1"/>
    <col min="3" max="7" width="16.7109375" customWidth="1"/>
  </cols>
  <sheetData>
    <row r="1" spans="1:7" ht="22" customHeight="1">
      <c r="A1" s="1" t="s">
        <v>462</v>
      </c>
      <c r="B1" s="1"/>
      <c r="C1" s="1"/>
      <c r="D1" s="1"/>
      <c r="E1" s="1"/>
      <c r="F1" s="1"/>
      <c r="G1" s="1"/>
    </row>
    <row r="3" spans="1:7" ht="18" customHeight="1">
      <c r="A3" s="4" t="s">
        <v>463</v>
      </c>
      <c r="B3" s="4"/>
      <c r="C3" s="4" t="s">
        <v>464</v>
      </c>
      <c r="D3" s="4" t="s">
        <v>465</v>
      </c>
      <c r="E3" s="4"/>
      <c r="F3" s="4" t="s">
        <v>466</v>
      </c>
      <c r="G3" s="4"/>
    </row>
    <row r="5" spans="1:7" ht="18" customHeight="1">
      <c r="A5" s="20" t="s">
        <v>467</v>
      </c>
      <c r="B5" s="20"/>
      <c r="C5" s="21">
        <f>SUM(C6:C9)</f>
        <v>118000.0</v>
      </c>
      <c r="D5" s="21">
        <f>C5*$G$41</f>
        <v>23600.0</v>
      </c>
      <c r="E5" s="21"/>
      <c r="F5" s="21">
        <f>C5-D5</f>
        <v>94400.0</v>
      </c>
      <c r="G5" s="21"/>
    </row>
    <row r="6" spans="1:7" ht="18" customHeight="1">
      <c r="A6" s="5" t="s">
        <v>375</v>
      </c>
      <c r="B6" s="5"/>
      <c r="C6" s="9">
        <f>'DEPRECIACIONES AMORTIZACION'!B5</f>
        <v>48000.0</v>
      </c>
      <c r="D6" s="9">
        <f>C6*$G$41</f>
        <v>9600.0</v>
      </c>
      <c r="E6" s="9"/>
      <c r="F6" s="9">
        <f>C6-D6</f>
        <v>38400.0</v>
      </c>
      <c r="G6" s="9"/>
    </row>
    <row r="7" spans="1:7" ht="18" customHeight="1">
      <c r="A7" s="5" t="s">
        <v>376</v>
      </c>
      <c r="B7" s="5"/>
      <c r="C7" s="9">
        <f>'DEPRECIACIONES AMORTIZACION'!B6</f>
        <v>32000.0</v>
      </c>
      <c r="D7" s="9">
        <f>C7*$G$41</f>
        <v>6400.0</v>
      </c>
      <c r="E7" s="9"/>
      <c r="F7" s="9">
        <f>C7-D7</f>
        <v>25600.0</v>
      </c>
      <c r="G7" s="9"/>
    </row>
    <row r="8" spans="1:7" ht="18" customHeight="1">
      <c r="A8" s="5" t="s">
        <v>377</v>
      </c>
      <c r="B8" s="5"/>
      <c r="C8" s="9">
        <f>'DEPRECIACIONES AMORTIZACION'!B7</f>
        <v>20000.0</v>
      </c>
      <c r="D8" s="9">
        <f>C8*$G$41</f>
        <v>4000.0</v>
      </c>
      <c r="E8" s="9"/>
      <c r="F8" s="9">
        <f>C8-D8</f>
        <v>16000.0</v>
      </c>
      <c r="G8" s="9"/>
    </row>
    <row r="9" spans="1:7" ht="18" customHeight="1">
      <c r="A9" s="5" t="s">
        <v>378</v>
      </c>
      <c r="B9" s="5"/>
      <c r="C9" s="9">
        <f>'DEPRECIACIONES AMORTIZACION'!B8</f>
        <v>18000.0</v>
      </c>
      <c r="D9" s="9">
        <f>C9*$G$41</f>
        <v>3600.0</v>
      </c>
      <c r="E9" s="9"/>
      <c r="F9" s="9">
        <f>C9-D9</f>
        <v>14400.0</v>
      </c>
      <c r="G9" s="9"/>
    </row>
    <row r="11" spans="1:7" ht="18" customHeight="1">
      <c r="A11" s="20" t="s">
        <v>468</v>
      </c>
      <c r="B11" s="20"/>
      <c r="C11" s="21">
        <f>SUM(C12:C18)</f>
        <v>50000.0</v>
      </c>
      <c r="D11" s="21">
        <f>C11*$G$42</f>
        <v>50000.0</v>
      </c>
      <c r="E11" s="21"/>
      <c r="F11" s="21">
        <f>C11-D11</f>
        <v>0.0</v>
      </c>
      <c r="G11" s="21"/>
    </row>
    <row r="12" spans="1:7" ht="18" customHeight="1">
      <c r="A12" s="5" t="s">
        <v>469</v>
      </c>
      <c r="B12" s="5"/>
      <c r="C12" s="9">
        <f>('COSTOS'!B48+'PLANILLA'!B6+'COSTOS'!B73-'DEPRECIACIONES AMORTIZACION'!B104)/365*$B$38</f>
        <v>84129.61</v>
      </c>
      <c r="D12" s="9">
        <f>C12*$G$42</f>
        <v>84129.61</v>
      </c>
      <c r="E12" s="9"/>
      <c r="F12" s="9">
        <f>C12-D12</f>
        <v>0.0</v>
      </c>
      <c r="G12" s="9"/>
    </row>
    <row r="13" spans="1:7" ht="18" customHeight="1">
      <c r="A13" s="5" t="s">
        <v>470</v>
      </c>
      <c r="B13" s="5"/>
      <c r="C13" s="9">
        <f>('PLANILLA'!B5+'PLANILLA'!B7)/365*$B$38</f>
        <v>21465.99</v>
      </c>
      <c r="D13" s="9">
        <f>C13*$G$42</f>
        <v>21465.99</v>
      </c>
      <c r="E13" s="9"/>
      <c r="F13" s="9">
        <f>C13-D13</f>
        <v>0.0</v>
      </c>
      <c r="G13" s="9"/>
    </row>
    <row r="14" spans="1:7" ht="18" customHeight="1">
      <c r="A14" s="5" t="s">
        <v>471</v>
      </c>
      <c r="B14" s="5"/>
      <c r="C14" s="9">
        <f>('GASTOS_ADM_VTAS_FINANZAS'!B8-'PLANILLA'!B7)/365*$B$38</f>
        <v>6557.23</v>
      </c>
      <c r="D14" s="9">
        <f>C14*$G$42</f>
        <v>6557.23</v>
      </c>
      <c r="E14" s="9"/>
      <c r="F14" s="9">
        <f>C14-D14</f>
        <v>0.0</v>
      </c>
      <c r="G14" s="9"/>
    </row>
    <row r="15" spans="1:7" ht="18" customHeight="1">
      <c r="A15" s="5" t="s">
        <v>472</v>
      </c>
      <c r="B15" s="5"/>
      <c r="C15" s="9">
        <f>'GASTOS_ADM_VTAS_FINANZAS'!B13/365*$B$38</f>
        <v>3550.68</v>
      </c>
      <c r="D15" s="9">
        <f>C15*$G$42</f>
        <v>3550.68</v>
      </c>
      <c r="E15" s="9"/>
      <c r="F15" s="9">
        <f>C15-D15</f>
        <v>0.0</v>
      </c>
      <c r="G15" s="9"/>
    </row>
    <row r="16" spans="1:7" ht="18" customHeight="1">
      <c r="A16" s="5" t="s">
        <v>473</v>
      </c>
      <c r="B16" s="5"/>
      <c r="C16" s="9">
        <f>-'INGRESOS'!B19*$G$44</f>
        <v>-27096.0</v>
      </c>
      <c r="D16" s="9">
        <f>C16*$G$42</f>
        <v>-27096.0</v>
      </c>
      <c r="E16" s="9"/>
      <c r="F16" s="9">
        <f>C16-D16</f>
        <v>-0.0</v>
      </c>
      <c r="G16" s="9"/>
    </row>
    <row r="17" spans="1:7" ht="18" customHeight="1">
      <c r="A17" s="5" t="s">
        <v>474</v>
      </c>
      <c r="B17" s="5"/>
      <c r="C17" s="9">
        <f>-'COSTOS'!B59/365*$B$38</f>
        <v>-39885.73</v>
      </c>
      <c r="D17" s="9">
        <f>C17*$G$42</f>
        <v>-39885.73</v>
      </c>
      <c r="E17" s="9"/>
      <c r="F17" s="9">
        <f>C17-D17</f>
        <v>-0.0</v>
      </c>
      <c r="G17" s="9"/>
    </row>
    <row r="18" spans="1:7" ht="18" customHeight="1">
      <c r="A18" s="5" t="s">
        <v>475</v>
      </c>
      <c r="B18" s="5"/>
      <c r="C18" s="9">
        <f>$G$45-SUM(C12:C17)</f>
        <v>1278.22</v>
      </c>
      <c r="D18" s="9">
        <f>C18*$G$42</f>
        <v>1278.22</v>
      </c>
      <c r="E18" s="9"/>
      <c r="F18" s="9">
        <f>C18-D18</f>
        <v>0.0</v>
      </c>
      <c r="G18" s="9"/>
    </row>
    <row r="20" spans="1:7" ht="18" customHeight="1">
      <c r="A20" s="20" t="s">
        <v>476</v>
      </c>
      <c r="B20" s="20"/>
      <c r="C20" s="21">
        <f>SUM(C21:C24)</f>
        <v>132000.0</v>
      </c>
      <c r="D20" s="21">
        <f>C20*$G$43</f>
        <v>46400.0</v>
      </c>
      <c r="E20" s="21"/>
      <c r="F20" s="21">
        <f>C20-D20</f>
        <v>85600.0</v>
      </c>
      <c r="G20" s="21"/>
    </row>
    <row r="21" spans="1:7" ht="18" customHeight="1">
      <c r="A21" s="5" t="s">
        <v>382</v>
      </c>
      <c r="B21" s="5"/>
      <c r="C21" s="9">
        <f>$G$31</f>
        <v>8000.0</v>
      </c>
      <c r="D21" s="9">
        <f>C21*$G$43</f>
        <v>2812.12</v>
      </c>
      <c r="E21" s="9"/>
      <c r="F21" s="9">
        <f>C21-D21</f>
        <v>5187.88</v>
      </c>
      <c r="G21" s="9"/>
    </row>
    <row r="22" spans="1:7" ht="18" customHeight="1">
      <c r="A22" s="5" t="s">
        <v>383</v>
      </c>
      <c r="B22" s="5"/>
      <c r="C22" s="9">
        <f>$G$32</f>
        <v>90000.0</v>
      </c>
      <c r="D22" s="9">
        <f>C22*$G$43</f>
        <v>31636.36</v>
      </c>
      <c r="E22" s="9"/>
      <c r="F22" s="9">
        <f>C22-D22</f>
        <v>58363.64</v>
      </c>
      <c r="G22" s="9"/>
    </row>
    <row r="23" spans="1:7" ht="18" customHeight="1">
      <c r="A23" s="5" t="s">
        <v>384</v>
      </c>
      <c r="B23" s="5"/>
      <c r="C23" s="9">
        <f>$G$33</f>
        <v>22000.0</v>
      </c>
      <c r="D23" s="9">
        <f>C23*$G$43</f>
        <v>7733.33</v>
      </c>
      <c r="E23" s="9"/>
      <c r="F23" s="9">
        <f>C23-D23</f>
        <v>14266.67</v>
      </c>
      <c r="G23" s="9"/>
    </row>
    <row r="24" spans="1:7" ht="18" customHeight="1">
      <c r="A24" s="5" t="s">
        <v>385</v>
      </c>
      <c r="B24" s="5"/>
      <c r="C24" s="9">
        <f>$G$34</f>
        <v>12000.0</v>
      </c>
      <c r="D24" s="9">
        <f>C24*$G$43</f>
        <v>4218.18</v>
      </c>
      <c r="E24" s="9"/>
      <c r="F24" s="9">
        <f>C24-D24</f>
        <v>7781.82</v>
      </c>
      <c r="G24" s="9"/>
    </row>
    <row r="26" spans="1:7" ht="18" customHeight="1">
      <c r="A26" s="8" t="s">
        <v>294</v>
      </c>
      <c r="B26" s="8"/>
      <c r="C26" s="8"/>
      <c r="D26" s="22">
        <f>D27/C27</f>
        <v>0.4</v>
      </c>
      <c r="E26" s="22"/>
      <c r="F26" s="22">
        <f>F27/C27</f>
        <v>0.6</v>
      </c>
      <c r="G26" s="22"/>
    </row>
    <row r="27" spans="1:7" ht="18" customHeight="1">
      <c r="A27" s="8"/>
      <c r="B27" s="8"/>
      <c r="C27" s="8">
        <f>SUM(C5,C11,C20)</f>
        <v>300000.0</v>
      </c>
      <c r="D27" s="8">
        <f>SUM(D5,D11,D20)</f>
        <v>120000.0</v>
      </c>
      <c r="E27" s="8"/>
      <c r="F27" s="8">
        <f>SUM(F5,F11,F20)</f>
        <v>180000.0</v>
      </c>
      <c r="G27" s="8"/>
    </row>
    <row r="30" spans="1:7" ht="18" customHeight="1">
      <c r="E30" s="3" t="s">
        <v>484</v>
      </c>
      <c r="F30" s="3"/>
      <c r="G30" s="3"/>
    </row>
    <row r="31" spans="1:7" ht="18" customHeight="1">
      <c r="A31" s="3" t="s">
        <v>477</v>
      </c>
      <c r="B31" s="3"/>
      <c r="E31" s="5" t="s">
        <v>382</v>
      </c>
      <c r="F31" s="5"/>
      <c r="G31" s="9">
        <f>'DEPRECIACIONES AMORTIZACION'!B17</f>
        <v>8000.0</v>
      </c>
    </row>
    <row r="32" spans="1:7" ht="18" customHeight="1">
      <c r="A32" s="5" t="s">
        <v>478</v>
      </c>
      <c r="B32" s="6">
        <v>5</v>
      </c>
      <c r="E32" s="5" t="s">
        <v>383</v>
      </c>
      <c r="F32" s="5"/>
      <c r="G32" s="9">
        <f>'DEPRECIACIONES AMORTIZACION'!B18</f>
        <v>90000.0</v>
      </c>
    </row>
    <row r="33" spans="1:7" ht="18" customHeight="1">
      <c r="A33" s="5" t="s">
        <v>479</v>
      </c>
      <c r="B33" s="6">
        <v>5</v>
      </c>
      <c r="E33" s="5" t="s">
        <v>384</v>
      </c>
      <c r="F33" s="5"/>
      <c r="G33" s="9">
        <f>'DEPRECIACIONES AMORTIZACION'!B19</f>
        <v>22000.0</v>
      </c>
    </row>
    <row r="34" spans="1:7" ht="18" customHeight="1">
      <c r="A34" s="5" t="s">
        <v>480</v>
      </c>
      <c r="B34" s="6">
        <v>45</v>
      </c>
      <c r="E34" s="5" t="s">
        <v>385</v>
      </c>
      <c r="F34" s="5"/>
      <c r="G34" s="9">
        <f>'DEPRECIACIONES AMORTIZACION'!B20</f>
        <v>12000.0</v>
      </c>
    </row>
    <row r="35" spans="1:7" ht="18" customHeight="1">
      <c r="A35" s="5" t="s">
        <v>481</v>
      </c>
      <c r="B35" s="6">
        <v>20</v>
      </c>
    </row>
    <row r="36" spans="1:7" ht="18" customHeight="1">
      <c r="A36" s="5" t="s">
        <v>482</v>
      </c>
      <c r="B36" s="6">
        <v>6</v>
      </c>
      <c r="E36" s="8" t="s">
        <v>485</v>
      </c>
      <c r="F36" s="8"/>
      <c r="G36" s="8">
        <f>SUM(G31:G34)</f>
        <v>132000.0</v>
      </c>
    </row>
    <row r="38" spans="1:7" ht="18" customHeight="1">
      <c r="A38" s="8" t="s">
        <v>483</v>
      </c>
      <c r="B38" s="7">
        <f>SUM(B32:B36)</f>
        <v>81</v>
      </c>
    </row>
    <row r="40" spans="1:7" ht="18" customHeight="1">
      <c r="A40" s="13" t="s">
        <v>486</v>
      </c>
      <c r="B40" s="13"/>
      <c r="C40" s="13"/>
      <c r="E40" s="3" t="s">
        <v>487</v>
      </c>
      <c r="F40" s="3"/>
      <c r="G40" s="3"/>
    </row>
    <row r="41" spans="1:7" ht="18" customHeight="1">
      <c r="A41" s="13"/>
      <c r="B41" s="13"/>
      <c r="C41" s="13"/>
      <c r="E41" s="5" t="s">
        <v>488</v>
      </c>
      <c r="F41" s="5"/>
      <c r="G41" s="11">
        <v>0.2</v>
      </c>
    </row>
    <row r="42" spans="1:7" ht="18" customHeight="1">
      <c r="A42" s="13"/>
      <c r="B42" s="13"/>
      <c r="C42" s="13"/>
      <c r="E42" s="5" t="s">
        <v>489</v>
      </c>
      <c r="F42" s="5"/>
      <c r="G42" s="11">
        <v>1</v>
      </c>
    </row>
    <row r="43" spans="1:7" ht="18" customHeight="1">
      <c r="E43" s="5" t="s">
        <v>493</v>
      </c>
      <c r="F43" s="5"/>
      <c r="G43" s="11">
        <f>(C27*$G$46-C5*$G$41-C11*$G$42)/C20</f>
        <v>0.3515151515151515</v>
      </c>
    </row>
    <row r="44" spans="1:7" ht="18" customHeight="1">
      <c r="E44" s="5" t="s">
        <v>490</v>
      </c>
      <c r="F44" s="5"/>
      <c r="G44" s="11">
        <v>0.05</v>
      </c>
    </row>
    <row r="45" spans="1:7" ht="18" customHeight="1">
      <c r="E45" s="5" t="s">
        <v>491</v>
      </c>
      <c r="F45" s="5"/>
      <c r="G45" s="9">
        <v>50000</v>
      </c>
    </row>
    <row r="46" spans="1:7" ht="18" customHeight="1">
      <c r="E46" s="5" t="s">
        <v>492</v>
      </c>
      <c r="F46" s="5"/>
      <c r="G46" s="11">
        <v>0.4</v>
      </c>
    </row>
  </sheetData>
  <mergeCells count="78">
    <mergeCell ref="A1:G1"/>
    <mergeCell ref="A3:B3"/>
    <mergeCell ref="D3:E3"/>
    <mergeCell ref="F3:G3"/>
    <mergeCell ref="A5:B5"/>
    <mergeCell ref="D5:E5"/>
    <mergeCell ref="F5:G5"/>
    <mergeCell ref="A6:B6"/>
    <mergeCell ref="D6:E6"/>
    <mergeCell ref="F6:G6"/>
    <mergeCell ref="A7:B7"/>
    <mergeCell ref="D7:E7"/>
    <mergeCell ref="F7:G7"/>
    <mergeCell ref="A8:B8"/>
    <mergeCell ref="D8:E8"/>
    <mergeCell ref="F8:G8"/>
    <mergeCell ref="A9:B9"/>
    <mergeCell ref="D9:E9"/>
    <mergeCell ref="F9:G9"/>
    <mergeCell ref="A11:B11"/>
    <mergeCell ref="D11:E11"/>
    <mergeCell ref="F11:G11"/>
    <mergeCell ref="A12:B12"/>
    <mergeCell ref="D12:E12"/>
    <mergeCell ref="F12:G12"/>
    <mergeCell ref="A13:B13"/>
    <mergeCell ref="D13:E13"/>
    <mergeCell ref="F13:G13"/>
    <mergeCell ref="A14:B14"/>
    <mergeCell ref="D14:E14"/>
    <mergeCell ref="F14:G14"/>
    <mergeCell ref="A15:B15"/>
    <mergeCell ref="D15:E15"/>
    <mergeCell ref="F15:G15"/>
    <mergeCell ref="A16:B16"/>
    <mergeCell ref="D16:E16"/>
    <mergeCell ref="F16:G16"/>
    <mergeCell ref="A17:B17"/>
    <mergeCell ref="D17:E17"/>
    <mergeCell ref="F17:G17"/>
    <mergeCell ref="A18:B18"/>
    <mergeCell ref="D18:E18"/>
    <mergeCell ref="F18:G18"/>
    <mergeCell ref="A20:B20"/>
    <mergeCell ref="D20:E20"/>
    <mergeCell ref="F20:G20"/>
    <mergeCell ref="A21:B21"/>
    <mergeCell ref="D21:E21"/>
    <mergeCell ref="F21:G21"/>
    <mergeCell ref="A22:B22"/>
    <mergeCell ref="D22:E22"/>
    <mergeCell ref="F22:G22"/>
    <mergeCell ref="A23:B23"/>
    <mergeCell ref="D23:E23"/>
    <mergeCell ref="F23:G23"/>
    <mergeCell ref="A24:B24"/>
    <mergeCell ref="D24:E24"/>
    <mergeCell ref="F24:G24"/>
    <mergeCell ref="A26:B27"/>
    <mergeCell ref="D26:E26"/>
    <mergeCell ref="F26:G26"/>
    <mergeCell ref="D27:E27"/>
    <mergeCell ref="F27:G27"/>
    <mergeCell ref="A31:B31"/>
    <mergeCell ref="E30:G30"/>
    <mergeCell ref="E31:F31"/>
    <mergeCell ref="E32:F32"/>
    <mergeCell ref="E33:F33"/>
    <mergeCell ref="E34:F34"/>
    <mergeCell ref="E36:F36"/>
    <mergeCell ref="A40:C42"/>
    <mergeCell ref="E40:G40"/>
    <mergeCell ref="E41:F41"/>
    <mergeCell ref="E42:F42"/>
    <mergeCell ref="E44:F44"/>
    <mergeCell ref="E45:F45"/>
    <mergeCell ref="E46:F46"/>
    <mergeCell ref="E43:F43"/>
  </mergeCells>
  <pageMargins left="0.25" right="0.25" top="0.35" bottom="0.3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E33"/>
  <sheetViews>
    <sheetView zoomScale="80" zoomScaleNormal="80" workbookViewId="0">
      <pane ySplit="4" topLeftCell="A5" activePane="bottomLeft" state="frozen"/>
      <selection pane="bottomLeft"/>
    </sheetView>
  </sheetViews>
  <sheetFormatPr defaultRowHeight="18" customHeight="1"/>
  <cols>
    <col min="1" max="1" width="34.7109375" customWidth="1"/>
    <col min="2" max="2" width="18.7109375" customWidth="1"/>
    <col min="3" max="3" width="5.7109375" customWidth="1"/>
    <col min="4" max="4" width="34.7109375" customWidth="1"/>
    <col min="5" max="5" width="18.7109375" customWidth="1"/>
  </cols>
  <sheetData>
    <row r="1" spans="1:5" ht="22" customHeight="1">
      <c r="A1" s="1" t="s">
        <v>494</v>
      </c>
      <c r="B1" s="1"/>
      <c r="C1" s="1"/>
      <c r="D1" s="1"/>
      <c r="E1" s="1"/>
    </row>
    <row r="2" spans="1:5" ht="18" customHeight="1">
      <c r="A2" s="2" t="s">
        <v>495</v>
      </c>
      <c r="B2" s="2"/>
      <c r="C2" s="2"/>
      <c r="D2" s="2"/>
      <c r="E2" s="2"/>
    </row>
    <row r="3" spans="1:5" ht="18" customHeight="1">
      <c r="A3" s="2"/>
      <c r="B3" s="2"/>
      <c r="C3" s="2"/>
      <c r="D3" s="2"/>
      <c r="E3" s="2"/>
    </row>
    <row r="4" spans="1:5" ht="18" customHeight="1">
      <c r="A4" s="4" t="s">
        <v>463</v>
      </c>
      <c r="B4" s="4"/>
      <c r="D4" s="4" t="s">
        <v>496</v>
      </c>
      <c r="E4" s="4"/>
    </row>
    <row r="5" spans="1:5" ht="18" customHeight="1">
      <c r="A5" s="20" t="s">
        <v>497</v>
      </c>
      <c r="D5" s="20" t="s">
        <v>498</v>
      </c>
    </row>
    <row r="6" spans="1:5" ht="18" customHeight="1">
      <c r="A6" s="5" t="s">
        <v>499</v>
      </c>
      <c r="B6" s="9">
        <f>'PLAN DE INVERSION'!C11</f>
        <v>50000.0</v>
      </c>
      <c r="D6" s="5" t="s">
        <v>502</v>
      </c>
      <c r="E6" s="9">
        <f>MIN('PLAN DE INVERSION'!F27,'GASTOS_ADM_VTAS_FINANZAS'!B21)</f>
        <v>0.0</v>
      </c>
    </row>
    <row r="7" spans="1:5" ht="18" customHeight="1">
      <c r="A7" s="5" t="s">
        <v>500</v>
      </c>
      <c r="B7" s="9">
        <f>'PLAN DE INVERSION'!C11-'PLAN DE INVERSION'!C11</f>
        <v>0</v>
      </c>
      <c r="D7" s="5" t="s">
        <v>503</v>
      </c>
      <c r="E7" s="9">
        <f>'PLAN DE INVERSION'!F27-E6</f>
        <v>180000.0</v>
      </c>
    </row>
    <row r="9" spans="1:5" ht="18" customHeight="1">
      <c r="A9" s="8" t="s">
        <v>501</v>
      </c>
      <c r="B9" s="8">
        <f>'PLAN DE INVERSION'!C11</f>
        <v>50000.0</v>
      </c>
      <c r="D9" s="8" t="s">
        <v>504</v>
      </c>
      <c r="E9" s="8">
        <f>'PLAN DE INVERSION'!F27</f>
        <v>180000.0</v>
      </c>
    </row>
    <row r="11" spans="1:5" ht="18" customHeight="1">
      <c r="A11" s="20" t="s">
        <v>505</v>
      </c>
      <c r="D11" s="20" t="s">
        <v>506</v>
      </c>
    </row>
    <row r="12" spans="1:5" ht="18" customHeight="1">
      <c r="A12" s="5" t="s">
        <v>375</v>
      </c>
      <c r="B12" s="9">
        <f>'PLAN DE INVERSION'!C6</f>
        <v>48000.0</v>
      </c>
    </row>
    <row r="13" spans="1:5" ht="18" customHeight="1">
      <c r="A13" s="5" t="s">
        <v>376</v>
      </c>
      <c r="B13" s="9">
        <f>'PLAN DE INVERSION'!C7</f>
        <v>32000.0</v>
      </c>
      <c r="D13" s="5" t="s">
        <v>508</v>
      </c>
      <c r="E13" s="9">
        <f>'PLAN DE INVERSION'!D27</f>
        <v>120000.0</v>
      </c>
    </row>
    <row r="14" spans="1:5" ht="18" customHeight="1">
      <c r="A14" s="5" t="s">
        <v>377</v>
      </c>
      <c r="B14" s="9">
        <f>'PLAN DE INVERSION'!C8</f>
        <v>20000.0</v>
      </c>
    </row>
    <row r="15" spans="1:5" ht="18" customHeight="1">
      <c r="A15" s="5" t="s">
        <v>378</v>
      </c>
      <c r="B15" s="9">
        <f>'PLAN DE INVERSION'!C9</f>
        <v>18000.0</v>
      </c>
    </row>
    <row r="17" spans="1:5" ht="18" customHeight="1">
      <c r="A17" s="8" t="s">
        <v>507</v>
      </c>
      <c r="B17" s="8">
        <f>'PLAN DE INVERSION'!C5</f>
        <v>118000.0</v>
      </c>
    </row>
    <row r="19" spans="1:5" ht="18" customHeight="1">
      <c r="A19" s="20" t="s">
        <v>509</v>
      </c>
    </row>
    <row r="20" spans="1:5" ht="18" customHeight="1">
      <c r="A20" s="5" t="s">
        <v>382</v>
      </c>
      <c r="B20" s="9">
        <f>'PLAN DE INVERSION'!C21</f>
        <v>8000.0</v>
      </c>
    </row>
    <row r="21" spans="1:5" ht="18" customHeight="1">
      <c r="A21" s="5" t="s">
        <v>383</v>
      </c>
      <c r="B21" s="9">
        <f>'PLAN DE INVERSION'!C22</f>
        <v>90000.0</v>
      </c>
    </row>
    <row r="22" spans="1:5" ht="18" customHeight="1">
      <c r="A22" s="5" t="s">
        <v>384</v>
      </c>
      <c r="B22" s="9">
        <f>'PLAN DE INVERSION'!C23</f>
        <v>22000.0</v>
      </c>
    </row>
    <row r="23" spans="1:5" ht="18" customHeight="1">
      <c r="A23" s="5" t="s">
        <v>385</v>
      </c>
      <c r="B23" s="9">
        <f>'PLAN DE INVERSION'!C24</f>
        <v>12000.0</v>
      </c>
    </row>
    <row r="24" spans="1:5" ht="18" customHeight="1">
      <c r="A24" s="8" t="s">
        <v>510</v>
      </c>
      <c r="B24" s="8">
        <f>'PLAN DE INVERSION'!C20</f>
        <v>132000.0</v>
      </c>
      <c r="D24" s="8" t="s">
        <v>511</v>
      </c>
      <c r="E24" s="8">
        <f>'PLAN DE INVERSION'!D27</f>
        <v>120000.0</v>
      </c>
    </row>
    <row r="26" spans="1:5" ht="18" customHeight="1">
      <c r="A26" s="8" t="s">
        <v>512</v>
      </c>
      <c r="B26" s="8">
        <f>'PLAN DE INVERSION'!C27</f>
        <v>300000.0</v>
      </c>
      <c r="D26" s="8" t="s">
        <v>513</v>
      </c>
      <c r="E26" s="8">
        <f>'PLAN DE INVERSION'!F27+'PLAN DE INVERSION'!D27</f>
        <v>300000.0</v>
      </c>
    </row>
    <row r="27" spans="1:5" ht="18" customHeight="1">
      <c r="D27" s="5" t="s">
        <v>514</v>
      </c>
      <c r="E27" s="9">
        <f>B26-E26</f>
        <v>0</v>
      </c>
    </row>
    <row r="33" spans="1:5" ht="18" customHeight="1">
      <c r="A33" s="13" t="s">
        <v>515</v>
      </c>
      <c r="D33" s="13" t="s">
        <v>516</v>
      </c>
      <c r="E33" s="13"/>
    </row>
  </sheetData>
  <mergeCells count="6">
    <mergeCell ref="A1:E1"/>
    <mergeCell ref="A2:E2"/>
    <mergeCell ref="A3:E3"/>
    <mergeCell ref="A4:B4"/>
    <mergeCell ref="D4:E4"/>
    <mergeCell ref="D33:E33"/>
  </mergeCells>
  <pageMargins left="0.25" right="0.25" top="0.35" bottom="0.3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21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.7109375" customWidth="1"/>
    <col min="2" max="2" width="34.7109375" customWidth="1"/>
    <col min="3" max="12" width="13.7109375" customWidth="1"/>
  </cols>
  <sheetData>
    <row r="1" spans="1:12" ht="22" customHeight="1">
      <c r="A1" s="1" t="s">
        <v>517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/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/>
      <c r="B5" s="5" t="s">
        <v>518</v>
      </c>
      <c r="C5" s="9">
        <f>0</f>
        <v>0</v>
      </c>
      <c r="D5" s="9">
        <f>C8</f>
        <v>0</v>
      </c>
      <c r="E5" s="9">
        <f>D8</f>
        <v>0</v>
      </c>
      <c r="F5" s="9">
        <f>E8</f>
        <v>0</v>
      </c>
      <c r="G5" s="9">
        <f>F8</f>
        <v>0</v>
      </c>
      <c r="H5" s="9">
        <f>G8</f>
        <v>0</v>
      </c>
      <c r="I5" s="9">
        <f>H8</f>
        <v>0</v>
      </c>
      <c r="J5" s="9">
        <f>I8</f>
        <v>0</v>
      </c>
      <c r="K5" s="9">
        <f>J8</f>
        <v>0</v>
      </c>
      <c r="L5" s="9">
        <f>K8</f>
        <v>0</v>
      </c>
    </row>
    <row r="6" spans="1:12" ht="18" customHeight="1">
      <c r="A6" s="20" t="s">
        <v>519</v>
      </c>
      <c r="B6" s="5" t="s">
        <v>520</v>
      </c>
      <c r="C6" s="9">
        <f>'COSTO DE PRODUCCION UNITARIO'!B8</f>
        <v>393477.35</v>
      </c>
      <c r="D6" s="9">
        <f>'COSTO DE PRODUCCION UNITARIO'!C8</f>
        <v>495816.44</v>
      </c>
      <c r="E6" s="9">
        <f>'COSTO DE PRODUCCION UNITARIO'!D8</f>
        <v>571532.95</v>
      </c>
      <c r="F6" s="9">
        <f>'COSTO DE PRODUCCION UNITARIO'!E8</f>
        <v>631304.14</v>
      </c>
      <c r="G6" s="9">
        <f>'COSTO DE PRODUCCION UNITARIO'!F8</f>
        <v>618421.73</v>
      </c>
      <c r="H6" s="9">
        <f>'COSTO DE PRODUCCION UNITARIO'!G8</f>
        <v>866568.68</v>
      </c>
      <c r="I6" s="9">
        <f>'COSTO DE PRODUCCION UNITARIO'!H8</f>
        <v>888091.38</v>
      </c>
      <c r="J6" s="9">
        <f>'COSTO DE PRODUCCION UNITARIO'!I8</f>
        <v>945304.32</v>
      </c>
      <c r="K6" s="9">
        <f>'COSTO DE PRODUCCION UNITARIO'!J8</f>
        <v>1197927.54</v>
      </c>
      <c r="L6" s="9">
        <f>'COSTO DE PRODUCCION UNITARIO'!K8</f>
        <v>1234332.89</v>
      </c>
    </row>
    <row r="7" spans="1:12" ht="18" customHeight="1">
      <c r="A7" s="20" t="s">
        <v>521</v>
      </c>
      <c r="B7" s="20" t="s">
        <v>522</v>
      </c>
      <c r="C7" s="21">
        <f>SUM(C5,C6)</f>
        <v>393477.35</v>
      </c>
      <c r="D7" s="21">
        <f>SUM(D5,D6)</f>
        <v>495816.44</v>
      </c>
      <c r="E7" s="21">
        <f>SUM(E5,E6)</f>
        <v>571532.95</v>
      </c>
      <c r="F7" s="21">
        <f>SUM(F5,F6)</f>
        <v>631304.14</v>
      </c>
      <c r="G7" s="21">
        <f>SUM(G5,G6)</f>
        <v>618421.73</v>
      </c>
      <c r="H7" s="21">
        <f>SUM(H5,H6)</f>
        <v>866568.68</v>
      </c>
      <c r="I7" s="21">
        <f>SUM(I5,I6)</f>
        <v>888091.38</v>
      </c>
      <c r="J7" s="21">
        <f>SUM(J5,J6)</f>
        <v>945304.32</v>
      </c>
      <c r="K7" s="21">
        <f>SUM(K5,K6)</f>
        <v>1197927.54</v>
      </c>
      <c r="L7" s="21">
        <f>SUM(L5,L6)</f>
        <v>1234332.89</v>
      </c>
    </row>
    <row r="8" spans="1:12" ht="18" customHeight="1">
      <c r="A8" s="20" t="s">
        <v>523</v>
      </c>
      <c r="B8" s="5" t="s">
        <v>524</v>
      </c>
      <c r="C8" s="9">
        <f>0</f>
        <v>0</v>
      </c>
      <c r="D8" s="9">
        <f>0</f>
        <v>0</v>
      </c>
      <c r="E8" s="9">
        <f>0</f>
        <v>0</v>
      </c>
      <c r="F8" s="9">
        <f>0</f>
        <v>0</v>
      </c>
      <c r="G8" s="9">
        <f>0</f>
        <v>0</v>
      </c>
      <c r="H8" s="9">
        <f>0</f>
        <v>0</v>
      </c>
      <c r="I8" s="9">
        <f>0</f>
        <v>0</v>
      </c>
      <c r="J8" s="9">
        <f>0</f>
        <v>0</v>
      </c>
      <c r="K8" s="9">
        <f>0</f>
        <v>0</v>
      </c>
      <c r="L8" s="9">
        <f>0</f>
        <v>0</v>
      </c>
    </row>
    <row r="9" spans="1:12" ht="18" customHeight="1">
      <c r="A9" s="8" t="s">
        <v>521</v>
      </c>
      <c r="B9" s="8" t="s">
        <v>525</v>
      </c>
      <c r="C9" s="8">
        <f>C7-C8</f>
        <v>393477.35</v>
      </c>
      <c r="D9" s="8">
        <f>D7-D8</f>
        <v>495816.44</v>
      </c>
      <c r="E9" s="8">
        <f>E7-E8</f>
        <v>571532.95</v>
      </c>
      <c r="F9" s="8">
        <f>F7-F8</f>
        <v>631304.14</v>
      </c>
      <c r="G9" s="8">
        <f>G7-G8</f>
        <v>618421.73</v>
      </c>
      <c r="H9" s="8">
        <f>H7-H8</f>
        <v>866568.68</v>
      </c>
      <c r="I9" s="8">
        <f>I7-I8</f>
        <v>888091.38</v>
      </c>
      <c r="J9" s="8">
        <f>J7-J8</f>
        <v>945304.32</v>
      </c>
      <c r="K9" s="8">
        <f>K7-K8</f>
        <v>1197927.54</v>
      </c>
      <c r="L9" s="8">
        <f>L7-L8</f>
        <v>1234332.89</v>
      </c>
    </row>
    <row r="11" spans="1:12" ht="20" customHeight="1">
      <c r="A11" s="3" t="s">
        <v>526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ht="18" customHeight="1">
      <c r="A12" s="4"/>
      <c r="B12" s="4" t="s">
        <v>3</v>
      </c>
      <c r="C12" s="4" t="s">
        <v>4</v>
      </c>
      <c r="D12" s="4" t="s">
        <v>5</v>
      </c>
      <c r="E12" s="4" t="s">
        <v>6</v>
      </c>
      <c r="F12" s="4" t="s">
        <v>7</v>
      </c>
      <c r="G12" s="4" t="s">
        <v>8</v>
      </c>
      <c r="H12" s="4" t="s">
        <v>9</v>
      </c>
      <c r="I12" s="4" t="s">
        <v>10</v>
      </c>
      <c r="J12" s="4" t="s">
        <v>11</v>
      </c>
      <c r="K12" s="4" t="s">
        <v>12</v>
      </c>
      <c r="L12" s="4" t="s">
        <v>13</v>
      </c>
    </row>
    <row r="13" spans="1:12" ht="18" customHeight="1">
      <c r="A13" s="5"/>
      <c r="B13" s="5" t="s">
        <v>232</v>
      </c>
      <c r="C13" s="9">
        <f>'COSTO DE PRODUCCION UNITARIO'!B5</f>
        <v>256760.0</v>
      </c>
      <c r="D13" s="9">
        <f>'COSTO DE PRODUCCION UNITARIO'!C5</f>
        <v>299482.8</v>
      </c>
      <c r="E13" s="9">
        <f>'COSTO DE PRODUCCION UNITARIO'!D5</f>
        <v>351259.75</v>
      </c>
      <c r="F13" s="9">
        <f>'COSTO DE PRODUCCION UNITARIO'!E5</f>
        <v>401135.71</v>
      </c>
      <c r="G13" s="9">
        <f>'COSTO DE PRODUCCION UNITARIO'!F5</f>
        <v>385007.3</v>
      </c>
      <c r="H13" s="9">
        <f>'COSTO DE PRODUCCION UNITARIO'!G5</f>
        <v>613229.84</v>
      </c>
      <c r="I13" s="9">
        <f>'COSTO DE PRODUCCION UNITARIO'!H5</f>
        <v>622588.66</v>
      </c>
      <c r="J13" s="9">
        <f>'COSTO DE PRODUCCION UNITARIO'!I5</f>
        <v>622265.33</v>
      </c>
      <c r="K13" s="9">
        <f>'COSTO DE PRODUCCION UNITARIO'!J5</f>
        <v>859276.36</v>
      </c>
      <c r="L13" s="9">
        <f>'COSTO DE PRODUCCION UNITARIO'!K5</f>
        <v>879308.35</v>
      </c>
    </row>
    <row r="14" spans="1:12" ht="18" customHeight="1">
      <c r="A14" s="5"/>
      <c r="B14" s="5" t="s">
        <v>233</v>
      </c>
      <c r="C14" s="9">
        <f>'COSTO DE PRODUCCION UNITARIO'!B6</f>
        <v>94042.55</v>
      </c>
      <c r="D14" s="9">
        <f>'COSTO DE PRODUCCION UNITARIO'!C6</f>
        <v>143526.84</v>
      </c>
      <c r="E14" s="9">
        <f>'COSTO DE PRODUCCION UNITARIO'!D6</f>
        <v>165929.12</v>
      </c>
      <c r="F14" s="9">
        <f>'COSTO DE PRODUCCION UNITARIO'!E6</f>
        <v>174225.58</v>
      </c>
      <c r="G14" s="9">
        <f>'COSTO DE PRODUCCION UNITARIO'!F6</f>
        <v>182936.86</v>
      </c>
      <c r="H14" s="9">
        <f>'COSTO DE PRODUCCION UNITARIO'!G6</f>
        <v>207309.64</v>
      </c>
      <c r="I14" s="9">
        <f>'COSTO DE PRODUCCION UNITARIO'!H6</f>
        <v>217675.12</v>
      </c>
      <c r="J14" s="9">
        <f>'COSTO DE PRODUCCION UNITARIO'!I6</f>
        <v>273341.04</v>
      </c>
      <c r="K14" s="9">
        <f>'COSTO DE PRODUCCION UNITARIO'!J6</f>
        <v>287008.09</v>
      </c>
      <c r="L14" s="9">
        <f>'COSTO DE PRODUCCION UNITARIO'!K6</f>
        <v>301358.5</v>
      </c>
    </row>
    <row r="15" spans="1:12" ht="18" customHeight="1">
      <c r="A15" s="5"/>
      <c r="B15" s="5" t="s">
        <v>234</v>
      </c>
      <c r="C15" s="9">
        <f>'COSTO DE PRODUCCION UNITARIO'!B7</f>
        <v>42674.8</v>
      </c>
      <c r="D15" s="9">
        <f>'COSTO DE PRODUCCION UNITARIO'!C7</f>
        <v>52806.8</v>
      </c>
      <c r="E15" s="9">
        <f>'COSTO DE PRODUCCION UNITARIO'!D7</f>
        <v>54344.08</v>
      </c>
      <c r="F15" s="9">
        <f>'COSTO DE PRODUCCION UNITARIO'!E7</f>
        <v>55942.85</v>
      </c>
      <c r="G15" s="9">
        <f>'COSTO DE PRODUCCION UNITARIO'!F7</f>
        <v>50477.57</v>
      </c>
      <c r="H15" s="9">
        <f>'COSTO DE PRODUCCION UNITARIO'!G7</f>
        <v>46029.2</v>
      </c>
      <c r="I15" s="9">
        <f>'COSTO DE PRODUCCION UNITARIO'!H7</f>
        <v>47827.6</v>
      </c>
      <c r="J15" s="9">
        <f>'COSTO DE PRODUCCION UNITARIO'!I7</f>
        <v>49697.94</v>
      </c>
      <c r="K15" s="9">
        <f>'COSTO DE PRODUCCION UNITARIO'!J7</f>
        <v>51643.09</v>
      </c>
      <c r="L15" s="9">
        <f>'COSTO DE PRODUCCION UNITARIO'!K7</f>
        <v>53666.05</v>
      </c>
    </row>
    <row r="16" spans="1:12" ht="18" customHeight="1">
      <c r="A16" s="8" t="s">
        <v>521</v>
      </c>
      <c r="B16" s="8" t="s">
        <v>527</v>
      </c>
      <c r="C16" s="8">
        <f>SUM(C13,C14,C15)</f>
        <v>393477.35</v>
      </c>
      <c r="D16" s="8">
        <f>SUM(D13,D14,D15)</f>
        <v>495816.44</v>
      </c>
      <c r="E16" s="8">
        <f>SUM(E13,E14,E15)</f>
        <v>571532.95</v>
      </c>
      <c r="F16" s="8">
        <f>SUM(F13,F14,F15)</f>
        <v>631304.14</v>
      </c>
      <c r="G16" s="8">
        <f>SUM(G13,G14,G15)</f>
        <v>618421.73</v>
      </c>
      <c r="H16" s="8">
        <f>SUM(H13,H14,H15)</f>
        <v>866568.68</v>
      </c>
      <c r="I16" s="8">
        <f>SUM(I13,I14,I15)</f>
        <v>888091.38</v>
      </c>
      <c r="J16" s="8">
        <f>SUM(J13,J14,J15)</f>
        <v>945304.32</v>
      </c>
      <c r="K16" s="8">
        <f>SUM(K13,K14,K15)</f>
        <v>1197927.54</v>
      </c>
      <c r="L16" s="8">
        <f>SUM(L13,L14,L15)</f>
        <v>1234332.89</v>
      </c>
    </row>
    <row r="17" spans="1:12" ht="18" customHeight="1">
      <c r="A17" s="5"/>
      <c r="B17" s="5" t="s">
        <v>528</v>
      </c>
      <c r="C17" s="9">
        <f>C9-C16</f>
        <v>0</v>
      </c>
      <c r="D17" s="9">
        <f>D9-D16</f>
        <v>0</v>
      </c>
      <c r="E17" s="9">
        <f>E9-E16</f>
        <v>0</v>
      </c>
      <c r="F17" s="9">
        <f>F9-F16</f>
        <v>0</v>
      </c>
      <c r="G17" s="9">
        <f>G9-G16</f>
        <v>0</v>
      </c>
      <c r="H17" s="9">
        <f>H9-H16</f>
        <v>0</v>
      </c>
      <c r="I17" s="9">
        <f>I9-I16</f>
        <v>0</v>
      </c>
      <c r="J17" s="9">
        <f>J9-J16</f>
        <v>0</v>
      </c>
      <c r="K17" s="9">
        <f>K9-K16</f>
        <v>0</v>
      </c>
      <c r="L17" s="9">
        <f>L9-L16</f>
        <v>0</v>
      </c>
    </row>
    <row r="19" spans="1:12" ht="18" customHeight="1">
      <c r="A19" s="3" t="s">
        <v>529</v>
      </c>
      <c r="B19" s="3"/>
    </row>
    <row r="20" spans="1:12" ht="18" customHeight="1">
      <c r="A20" s="13" t="s">
        <v>530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</row>
    <row r="21" spans="1:12" ht="18" customHeight="1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</row>
  </sheetData>
  <mergeCells count="4">
    <mergeCell ref="A1:L1"/>
    <mergeCell ref="A11:L11"/>
    <mergeCell ref="A19:B19"/>
    <mergeCell ref="A20:L21"/>
  </mergeCells>
  <pageMargins left="0.25" right="0.25" top="0.35" bottom="0.3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3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531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494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2" ht="18" customHeight="1">
      <c r="A3" s="4" t="s">
        <v>532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</row>
    <row r="4" spans="1:12" ht="18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6" spans="1:12" ht="18" customHeight="1">
      <c r="A6" s="5" t="s">
        <v>533</v>
      </c>
      <c r="B6" s="9">
        <f>'INGRESOS'!B19</f>
        <v>541920.0</v>
      </c>
      <c r="C6" s="9">
        <f>'INGRESOS'!C19</f>
        <v>686721.6</v>
      </c>
      <c r="D6" s="9">
        <f>'INGRESOS'!D19</f>
        <v>853167.29</v>
      </c>
      <c r="E6" s="9">
        <f>'INGRESOS'!E19</f>
        <v>1023002.28</v>
      </c>
      <c r="F6" s="9">
        <f>'INGRESOS'!F19</f>
        <v>1056906.8</v>
      </c>
      <c r="G6" s="9">
        <f>'INGRESOS'!G19</f>
        <v>1598645.75</v>
      </c>
      <c r="H6" s="9">
        <f>'INGRESOS'!H19</f>
        <v>1719842.11</v>
      </c>
      <c r="I6" s="9">
        <f>'INGRESOS'!I19</f>
        <v>1813401.52</v>
      </c>
      <c r="J6" s="9">
        <f>'INGRESOS'!J19</f>
        <v>2399806.75</v>
      </c>
      <c r="K6" s="9">
        <f>'INGRESOS'!K19</f>
        <v>2570010.03</v>
      </c>
    </row>
    <row r="7" spans="1:12" ht="18" customHeight="1">
      <c r="A7" s="5" t="s">
        <v>525</v>
      </c>
      <c r="B7" s="9">
        <f>'COSTO DE VENTA'!C9</f>
        <v>393477.35</v>
      </c>
      <c r="C7" s="9">
        <f>'COSTO DE VENTA'!D9</f>
        <v>495816.44</v>
      </c>
      <c r="D7" s="9">
        <f>'COSTO DE VENTA'!E9</f>
        <v>571532.95</v>
      </c>
      <c r="E7" s="9">
        <f>'COSTO DE VENTA'!F9</f>
        <v>631304.14</v>
      </c>
      <c r="F7" s="9">
        <f>'COSTO DE VENTA'!G9</f>
        <v>618421.73</v>
      </c>
      <c r="G7" s="9">
        <f>'COSTO DE VENTA'!H9</f>
        <v>866568.68</v>
      </c>
      <c r="H7" s="9">
        <f>'COSTO DE VENTA'!I9</f>
        <v>888091.38</v>
      </c>
      <c r="I7" s="9">
        <f>'COSTO DE VENTA'!J9</f>
        <v>945304.32</v>
      </c>
      <c r="J7" s="9">
        <f>'COSTO DE VENTA'!K9</f>
        <v>1197927.54</v>
      </c>
      <c r="K7" s="9">
        <f>'COSTO DE VENTA'!L9</f>
        <v>1234332.89</v>
      </c>
    </row>
    <row r="8" spans="1:12" ht="18" customHeight="1">
      <c r="A8" s="8" t="s">
        <v>534</v>
      </c>
      <c r="B8" s="8">
        <f>B6-B7</f>
        <v>148442.65</v>
      </c>
      <c r="C8" s="8">
        <f>C6-C7</f>
        <v>190905.16</v>
      </c>
      <c r="D8" s="8">
        <f>D6-D7</f>
        <v>281634.34</v>
      </c>
      <c r="E8" s="8">
        <f>E6-E7</f>
        <v>391698.13</v>
      </c>
      <c r="F8" s="8">
        <f>F6-F7</f>
        <v>438485.06</v>
      </c>
      <c r="G8" s="8">
        <f>G6-G7</f>
        <v>732077.06</v>
      </c>
      <c r="H8" s="8">
        <f>H6-H7</f>
        <v>831750.73</v>
      </c>
      <c r="I8" s="8">
        <f>I6-I7</f>
        <v>868097.2</v>
      </c>
      <c r="J8" s="8">
        <f>J6-J7</f>
        <v>1201879.21</v>
      </c>
      <c r="K8" s="8">
        <f>K6-K7</f>
        <v>1335677.14</v>
      </c>
    </row>
    <row r="9" spans="1:12" ht="18" customHeight="1">
      <c r="A9" s="5" t="s">
        <v>535</v>
      </c>
      <c r="B9" s="9">
        <f>B10+B11</f>
        <v>178260.68</v>
      </c>
      <c r="C9" s="9">
        <f>C10+C11</f>
        <v>187997.19</v>
      </c>
      <c r="D9" s="9">
        <f>D10+D11</f>
        <v>198567.83</v>
      </c>
      <c r="E9" s="9">
        <f>E10+E11</f>
        <v>224756.31</v>
      </c>
      <c r="F9" s="9">
        <f>F10+F11</f>
        <v>243877.8</v>
      </c>
      <c r="G9" s="9">
        <f>G10+G11</f>
        <v>235839.72</v>
      </c>
      <c r="H9" s="9">
        <f>H10+H11</f>
        <v>248238.34</v>
      </c>
      <c r="I9" s="9">
        <f>I10+I11</f>
        <v>275624.83</v>
      </c>
      <c r="J9" s="9">
        <f>J10+J11</f>
        <v>301342.71</v>
      </c>
      <c r="K9" s="9">
        <f>K10+K11</f>
        <v>317191.59</v>
      </c>
    </row>
    <row r="10" spans="1:12" ht="18" customHeight="1">
      <c r="A10" s="5" t="s">
        <v>536</v>
      </c>
      <c r="B10" s="9">
        <f>'GASTOS_ADM_VTAS_FINANZAS'!B8</f>
        <v>44773.94</v>
      </c>
      <c r="C10" s="9">
        <f>'GASTOS_ADM_VTAS_FINANZAS'!C8</f>
        <v>49795.27</v>
      </c>
      <c r="D10" s="9">
        <f>'GASTOS_ADM_VTAS_FINANZAS'!D8</f>
        <v>55421.38</v>
      </c>
      <c r="E10" s="9">
        <f>'GASTOS_ADM_VTAS_FINANZAS'!E8</f>
        <v>76424.74</v>
      </c>
      <c r="F10" s="9">
        <f>'GASTOS_ADM_VTAS_FINANZAS'!F8</f>
        <v>79634.86</v>
      </c>
      <c r="G10" s="9">
        <f>'GASTOS_ADM_VTAS_FINANZAS'!G8</f>
        <v>95651.77</v>
      </c>
      <c r="H10" s="9">
        <f>'GASTOS_ADM_VTAS_FINANZAS'!H8</f>
        <v>101271.29</v>
      </c>
      <c r="I10" s="9">
        <f>'GASTOS_ADM_VTAS_FINANZAS'!I8</f>
        <v>121547.53</v>
      </c>
      <c r="J10" s="9">
        <f>'GASTOS_ADM_VTAS_FINANZAS'!J8</f>
        <v>139807.73</v>
      </c>
      <c r="K10" s="9">
        <f>'GASTOS_ADM_VTAS_FINANZAS'!K8</f>
        <v>147834.47</v>
      </c>
    </row>
    <row r="11" spans="1:12" ht="18" customHeight="1">
      <c r="A11" s="5" t="s">
        <v>537</v>
      </c>
      <c r="B11" s="9">
        <f>'GASTOS_ADM_VTAS_FINANZAS'!B15</f>
        <v>133486.74</v>
      </c>
      <c r="C11" s="9">
        <f>'GASTOS_ADM_VTAS_FINANZAS'!C15</f>
        <v>138201.92</v>
      </c>
      <c r="D11" s="9">
        <f>'GASTOS_ADM_VTAS_FINANZAS'!D15</f>
        <v>143146.46</v>
      </c>
      <c r="E11" s="9">
        <f>'GASTOS_ADM_VTAS_FINANZAS'!E15</f>
        <v>148331.56</v>
      </c>
      <c r="F11" s="9">
        <f>'GASTOS_ADM_VTAS_FINANZAS'!F15</f>
        <v>164242.94</v>
      </c>
      <c r="G11" s="9">
        <f>'GASTOS_ADM_VTAS_FINANZAS'!G15</f>
        <v>140187.95</v>
      </c>
      <c r="H11" s="9">
        <f>'GASTOS_ADM_VTAS_FINANZAS'!H15</f>
        <v>146967.04</v>
      </c>
      <c r="I11" s="9">
        <f>'GASTOS_ADM_VTAS_FINANZAS'!I15</f>
        <v>154077.3</v>
      </c>
      <c r="J11" s="9">
        <f>'GASTOS_ADM_VTAS_FINANZAS'!J15</f>
        <v>161534.98</v>
      </c>
      <c r="K11" s="9">
        <f>'GASTOS_ADM_VTAS_FINANZAS'!K15</f>
        <v>169357.12</v>
      </c>
    </row>
    <row r="13" spans="1:12" ht="18" customHeight="1">
      <c r="A13" s="8" t="s">
        <v>538</v>
      </c>
      <c r="B13" s="8">
        <f>B8-B9</f>
        <v>-29818.03</v>
      </c>
      <c r="C13" s="8">
        <f>C8-C9</f>
        <v>2907.96</v>
      </c>
      <c r="D13" s="8">
        <f>D8-D9</f>
        <v>83066.51</v>
      </c>
      <c r="E13" s="8">
        <f>E8-E9</f>
        <v>166941.83</v>
      </c>
      <c r="F13" s="8">
        <f>F8-F9</f>
        <v>194607.26</v>
      </c>
      <c r="G13" s="8">
        <f>G8-G9</f>
        <v>496237.35</v>
      </c>
      <c r="H13" s="8">
        <f>H8-H9</f>
        <v>583512.39</v>
      </c>
      <c r="I13" s="8">
        <f>I8-I9</f>
        <v>592472.37</v>
      </c>
      <c r="J13" s="8">
        <f>J8-J9</f>
        <v>900536.49</v>
      </c>
      <c r="K13" s="8">
        <f>K8-K9</f>
        <v>1018485.55</v>
      </c>
    </row>
    <row r="14" spans="1:12" ht="18" customHeight="1">
      <c r="A14" s="5" t="s">
        <v>539</v>
      </c>
      <c r="B14" s="9">
        <f>'GASTOS_ADM_VTAS_FINANZAS'!B20</f>
        <v>32400.0</v>
      </c>
      <c r="C14" s="9">
        <f>'GASTOS_ADM_VTAS_FINANZAS'!C20</f>
        <v>32400.0</v>
      </c>
      <c r="D14" s="9">
        <f>'GASTOS_ADM_VTAS_FINANZAS'!D20</f>
        <v>32400.0</v>
      </c>
      <c r="E14" s="9">
        <f>'GASTOS_ADM_VTAS_FINANZAS'!E20</f>
        <v>28968.51</v>
      </c>
      <c r="F14" s="9">
        <f>'GASTOS_ADM_VTAS_FINANZAS'!F20</f>
        <v>24919.36</v>
      </c>
      <c r="G14" s="9">
        <f>'GASTOS_ADM_VTAS_FINANZAS'!G20</f>
        <v>20141.35</v>
      </c>
      <c r="H14" s="9">
        <f>'GASTOS_ADM_VTAS_FINANZAS'!H20</f>
        <v>14503.31</v>
      </c>
      <c r="I14" s="9">
        <f>'GASTOS_ADM_VTAS_FINANZAS'!I20</f>
        <v>7850.41</v>
      </c>
      <c r="J14" s="9">
        <f>'GASTOS_ADM_VTAS_FINANZAS'!J20</f>
        <v>0.0</v>
      </c>
      <c r="K14" s="9">
        <f>'GASTOS_ADM_VTAS_FINANZAS'!K20</f>
        <v>0.0</v>
      </c>
    </row>
    <row r="15" spans="1:12" ht="18" customHeight="1">
      <c r="A15" s="5" t="s">
        <v>540</v>
      </c>
      <c r="B15" s="9">
        <f>0</f>
        <v>0.0</v>
      </c>
      <c r="C15" s="9">
        <f>0</f>
        <v>0.0</v>
      </c>
      <c r="D15" s="9">
        <f>0</f>
        <v>0.0</v>
      </c>
      <c r="E15" s="9">
        <f>0</f>
        <v>0.0</v>
      </c>
      <c r="F15" s="9">
        <f>0</f>
        <v>0.0</v>
      </c>
      <c r="G15" s="9">
        <f>0</f>
        <v>0.0</v>
      </c>
      <c r="H15" s="9">
        <f>0</f>
        <v>0.0</v>
      </c>
      <c r="I15" s="9">
        <f>0</f>
        <v>0.0</v>
      </c>
      <c r="J15" s="9">
        <f>0</f>
        <v>0.0</v>
      </c>
      <c r="K15" s="9">
        <f>0</f>
        <v>0.0</v>
      </c>
    </row>
    <row r="16" spans="1:12" ht="18" customHeight="1">
      <c r="A16" s="5" t="s">
        <v>541</v>
      </c>
      <c r="B16" s="9">
        <f>B13-B14+B15</f>
        <v>-62218.03</v>
      </c>
      <c r="C16" s="9">
        <f>C13-C14+C15</f>
        <v>-29492.04</v>
      </c>
      <c r="D16" s="9">
        <f>D13-D14+D15</f>
        <v>50666.51</v>
      </c>
      <c r="E16" s="9">
        <f>E13-E14+E15</f>
        <v>137973.32</v>
      </c>
      <c r="F16" s="9">
        <f>F13-F14+F15</f>
        <v>169687.91</v>
      </c>
      <c r="G16" s="9">
        <f>G13-G14+G15</f>
        <v>476096.0</v>
      </c>
      <c r="H16" s="9">
        <f>H13-H14+H15</f>
        <v>569009.08</v>
      </c>
      <c r="I16" s="9">
        <f>I13-I14+I15</f>
        <v>584621.96</v>
      </c>
      <c r="J16" s="9">
        <f>J13-J14+J15</f>
        <v>900536.49</v>
      </c>
      <c r="K16" s="9">
        <f>K13-K14+K15</f>
        <v>1018485.55</v>
      </c>
    </row>
    <row r="17" spans="1:11" ht="18" customHeight="1">
      <c r="A17" s="5" t="s">
        <v>542</v>
      </c>
      <c r="B17" s="9">
        <f>MAX(0,B16*$B$23)</f>
        <v>0.0</v>
      </c>
      <c r="C17" s="9">
        <f>MAX(0,C16*$B$23)</f>
        <v>0.0</v>
      </c>
      <c r="D17" s="9">
        <f>MAX(0,D16*$B$23)</f>
        <v>14946.62</v>
      </c>
      <c r="E17" s="9">
        <f>MAX(0,E16*$B$23)</f>
        <v>40702.13</v>
      </c>
      <c r="F17" s="9">
        <f>MAX(0,F16*$B$23)</f>
        <v>50057.93</v>
      </c>
      <c r="G17" s="9">
        <f>MAX(0,G16*$B$23)</f>
        <v>140448.32</v>
      </c>
      <c r="H17" s="9">
        <f>MAX(0,H16*$B$23)</f>
        <v>167857.68</v>
      </c>
      <c r="I17" s="9">
        <f>MAX(0,I16*$B$23)</f>
        <v>172463.48</v>
      </c>
      <c r="J17" s="9">
        <f>MAX(0,J16*$B$23)</f>
        <v>265658.27</v>
      </c>
      <c r="K17" s="9">
        <f>MAX(0,K16*$B$23)</f>
        <v>300453.24</v>
      </c>
    </row>
    <row r="18" spans="1:11" ht="18" customHeight="1">
      <c r="A18" s="8" t="s">
        <v>543</v>
      </c>
      <c r="B18" s="8">
        <f>B16-B17</f>
        <v>-62218.03</v>
      </c>
      <c r="C18" s="8">
        <f>C16-C17</f>
        <v>-29492.04</v>
      </c>
      <c r="D18" s="8">
        <f>D16-D17</f>
        <v>35719.89</v>
      </c>
      <c r="E18" s="8">
        <f>E16-E17</f>
        <v>97271.19</v>
      </c>
      <c r="F18" s="8">
        <f>F16-F17</f>
        <v>119629.97</v>
      </c>
      <c r="G18" s="8">
        <f>G16-G17</f>
        <v>335647.68</v>
      </c>
      <c r="H18" s="8">
        <f>H16-H17</f>
        <v>401151.4</v>
      </c>
      <c r="I18" s="8">
        <f>I16-I17</f>
        <v>412158.48</v>
      </c>
      <c r="J18" s="8">
        <f>J16-J17</f>
        <v>634878.23</v>
      </c>
      <c r="K18" s="8">
        <f>K16-K17</f>
        <v>718032.31</v>
      </c>
    </row>
    <row r="19" spans="1:11" ht="18" customHeight="1">
      <c r="A19" s="5" t="s">
        <v>544</v>
      </c>
      <c r="B19" s="9">
        <f>MIN(MAX(0,B18*$B$24),'PLAN DE INVERSION'!D27*$B$25)</f>
        <v>0.0</v>
      </c>
      <c r="C19" s="9">
        <f>MIN(MAX(0,C18*$B$24),MAX(0,'PLAN DE INVERSION'!D27*$B$25-SUM($B$19:B19)))</f>
        <v>0.0</v>
      </c>
      <c r="D19" s="9">
        <f>MIN(MAX(0,D18*$B$24),MAX(0,'PLAN DE INVERSION'!D27*$B$25-SUM($B$19:C19)))</f>
        <v>3571.99</v>
      </c>
      <c r="E19" s="9">
        <f>MIN(MAX(0,E18*$B$24),MAX(0,'PLAN DE INVERSION'!D27*$B$25-SUM($B$19:D19)))</f>
        <v>9727.12</v>
      </c>
      <c r="F19" s="9">
        <f>MIN(MAX(0,F18*$B$24),MAX(0,'PLAN DE INVERSION'!D27*$B$25-SUM($B$19:E19)))</f>
        <v>10700.89</v>
      </c>
      <c r="G19" s="9">
        <f>MIN(MAX(0,G18*$B$24),MAX(0,'PLAN DE INVERSION'!D27*$B$25-SUM($B$19:F19)))</f>
        <v>0.0</v>
      </c>
      <c r="H19" s="9">
        <f>MIN(MAX(0,H18*$B$24),MAX(0,'PLAN DE INVERSION'!D27*$B$25-SUM($B$19:G19)))</f>
        <v>0.0</v>
      </c>
      <c r="I19" s="9">
        <f>MIN(MAX(0,I18*$B$24),MAX(0,'PLAN DE INVERSION'!D27*$B$25-SUM($B$19:H19)))</f>
        <v>0.0</v>
      </c>
      <c r="J19" s="9">
        <f>MIN(MAX(0,J18*$B$24),MAX(0,'PLAN DE INVERSION'!D27*$B$25-SUM($B$19:I19)))</f>
        <v>0.0</v>
      </c>
      <c r="K19" s="9">
        <f>MIN(MAX(0,K18*$B$24),MAX(0,'PLAN DE INVERSION'!D27*$B$25-SUM($B$19:J19)))</f>
        <v>0.0</v>
      </c>
    </row>
    <row r="20" spans="1:11" ht="18" customHeight="1">
      <c r="A20" s="8" t="s">
        <v>545</v>
      </c>
      <c r="B20" s="8">
        <f>B18-B19</f>
        <v>-62218.03</v>
      </c>
      <c r="C20" s="8">
        <f>C18-C19</f>
        <v>-29492.04</v>
      </c>
      <c r="D20" s="8">
        <f>D18-D19</f>
        <v>32147.9</v>
      </c>
      <c r="E20" s="8">
        <f>E18-E19</f>
        <v>87544.07</v>
      </c>
      <c r="F20" s="8">
        <f>F18-F19</f>
        <v>108929.08</v>
      </c>
      <c r="G20" s="8">
        <f>G18-G19</f>
        <v>335647.68</v>
      </c>
      <c r="H20" s="8">
        <f>H18-H19</f>
        <v>401151.4</v>
      </c>
      <c r="I20" s="8">
        <f>I18-I19</f>
        <v>412158.48</v>
      </c>
      <c r="J20" s="8">
        <f>J18-J19</f>
        <v>634878.23</v>
      </c>
      <c r="K20" s="8">
        <f>K18-K19</f>
        <v>718032.31</v>
      </c>
    </row>
    <row r="22" spans="1:11" ht="18" customHeight="1">
      <c r="A22" s="3" t="s">
        <v>546</v>
      </c>
    </row>
    <row r="23" spans="1:11" ht="18" customHeight="1">
      <c r="A23" s="5" t="s">
        <v>547</v>
      </c>
      <c r="B23" s="11">
        <v>0.295</v>
      </c>
    </row>
    <row r="24" spans="1:11" ht="18" customHeight="1">
      <c r="A24" s="5" t="s">
        <v>548</v>
      </c>
      <c r="B24" s="11">
        <v>0.1</v>
      </c>
    </row>
    <row r="25" spans="1:11" ht="18" customHeight="1">
      <c r="A25" s="5" t="s">
        <v>549</v>
      </c>
      <c r="B25" s="11">
        <v>0.2</v>
      </c>
    </row>
    <row r="33" spans="1:4" ht="18" customHeight="1">
      <c r="A33" s="13" t="s">
        <v>515</v>
      </c>
      <c r="D33" s="13" t="s">
        <v>516</v>
      </c>
    </row>
  </sheetData>
  <mergeCells count="13">
    <mergeCell ref="A1:L1"/>
    <mergeCell ref="A2:K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</mergeCells>
  <pageMargins left="0.25" right="0.25" top="0.35" bottom="0.35" header="0.3" footer="0.3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9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2.7109375" customWidth="1"/>
    <col min="2" max="12" width="13.7109375" customWidth="1"/>
  </cols>
  <sheetData>
    <row r="1" spans="1:12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550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8" customHeight="1">
      <c r="A3" s="4" t="s">
        <v>3</v>
      </c>
      <c r="B3" s="4" t="s">
        <v>551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</row>
    <row r="4" spans="1:12" ht="18" customHeight="1">
      <c r="A4" s="3" t="s">
        <v>552</v>
      </c>
    </row>
    <row r="5" spans="1:12" ht="18" customHeight="1">
      <c r="A5" s="5" t="s">
        <v>553</v>
      </c>
      <c r="B5" s="9">
        <f>'PLAN DE INVERSION'!D27</f>
        <v>120000.0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554</v>
      </c>
      <c r="B6" s="9">
        <f>'PLAN DE INVERSION'!F27</f>
        <v>180000.0</v>
      </c>
      <c r="C6" s="9">
        <f>0.0</f>
        <v>0.0</v>
      </c>
      <c r="D6" s="9">
        <f>0.0</f>
        <v>0.0</v>
      </c>
      <c r="E6" s="9">
        <f>0.0</f>
        <v>0.0</v>
      </c>
      <c r="F6" s="9">
        <f>0.0</f>
        <v>0.0</v>
      </c>
      <c r="G6" s="9">
        <f>0.0</f>
        <v>0.0</v>
      </c>
      <c r="H6" s="9">
        <f>0.0</f>
        <v>0.0</v>
      </c>
      <c r="I6" s="9">
        <f>0.0</f>
        <v>0.0</v>
      </c>
      <c r="J6" s="9">
        <f>0.0</f>
        <v>0.0</v>
      </c>
      <c r="K6" s="9">
        <f>0.0</f>
        <v>0.0</v>
      </c>
      <c r="L6" s="9">
        <f>0.0</f>
        <v>0.0</v>
      </c>
    </row>
    <row r="7" spans="1:12" ht="18" customHeight="1">
      <c r="A7" s="5" t="s">
        <v>555</v>
      </c>
      <c r="B7" s="9">
        <f>0.0</f>
        <v>0.0</v>
      </c>
      <c r="C7" s="9">
        <f>'INGRESOS'!B23</f>
        <v>216768.0</v>
      </c>
      <c r="D7" s="9">
        <f>'INGRESOS'!C23</f>
        <v>274688.64</v>
      </c>
      <c r="E7" s="9">
        <f>'INGRESOS'!D23</f>
        <v>341266.92</v>
      </c>
      <c r="F7" s="9">
        <f>'INGRESOS'!E23</f>
        <v>409200.91</v>
      </c>
      <c r="G7" s="9">
        <f>'INGRESOS'!F23</f>
        <v>422762.72</v>
      </c>
      <c r="H7" s="9">
        <f>'INGRESOS'!G23</f>
        <v>639458.3</v>
      </c>
      <c r="I7" s="9">
        <f>'INGRESOS'!H23</f>
        <v>687936.84</v>
      </c>
      <c r="J7" s="9">
        <f>'INGRESOS'!I23</f>
        <v>725360.61</v>
      </c>
      <c r="K7" s="9">
        <f>'INGRESOS'!J23</f>
        <v>959922.7</v>
      </c>
      <c r="L7" s="9">
        <f>'INGRESOS'!K23</f>
        <v>1028004.01</v>
      </c>
    </row>
    <row r="8" spans="1:12" ht="18" customHeight="1">
      <c r="A8" s="5" t="s">
        <v>540</v>
      </c>
      <c r="B8" s="9">
        <f>0.0</f>
        <v>0.0</v>
      </c>
      <c r="C8" s="9">
        <f>0.0</f>
        <v>0.0</v>
      </c>
      <c r="D8" s="9">
        <f>0.0</f>
        <v>0.0</v>
      </c>
      <c r="E8" s="9">
        <f>0.0</f>
        <v>0.0</v>
      </c>
      <c r="F8" s="9">
        <f>0.0</f>
        <v>0.0</v>
      </c>
      <c r="G8" s="9">
        <f>0.0</f>
        <v>0.0</v>
      </c>
      <c r="H8" s="9">
        <f>0.0</f>
        <v>0.0</v>
      </c>
      <c r="I8" s="9">
        <f>0.0</f>
        <v>0.0</v>
      </c>
      <c r="J8" s="9">
        <f>0.0</f>
        <v>0.0</v>
      </c>
      <c r="K8" s="9">
        <f>0.0</f>
        <v>0.0</v>
      </c>
      <c r="L8" s="9">
        <f>0.0</f>
        <v>0.0</v>
      </c>
    </row>
    <row r="9" spans="1:12" ht="18" customHeight="1">
      <c r="A9" s="5" t="s">
        <v>556</v>
      </c>
      <c r="B9" s="9">
        <f>0.0</f>
        <v>0.0</v>
      </c>
      <c r="C9" s="9">
        <f>'INGRESOS'!B25</f>
        <v>260121.6</v>
      </c>
      <c r="D9" s="9">
        <f>'INGRESOS'!C25</f>
        <v>329626.37</v>
      </c>
      <c r="E9" s="9">
        <f>'INGRESOS'!D25</f>
        <v>409520.3</v>
      </c>
      <c r="F9" s="9">
        <f>'INGRESOS'!E25</f>
        <v>491041.09</v>
      </c>
      <c r="G9" s="9">
        <f>'INGRESOS'!F25</f>
        <v>507315.26</v>
      </c>
      <c r="H9" s="9">
        <f>'INGRESOS'!G25</f>
        <v>767349.96</v>
      </c>
      <c r="I9" s="9">
        <f>'INGRESOS'!H25</f>
        <v>825524.21</v>
      </c>
      <c r="J9" s="9">
        <f>'INGRESOS'!I25</f>
        <v>870432.73</v>
      </c>
      <c r="K9" s="9">
        <f>'INGRESOS'!J25</f>
        <v>1151907.24</v>
      </c>
      <c r="L9" s="9">
        <f>'INGRESOS'!K25</f>
        <v>1233604.81</v>
      </c>
    </row>
    <row r="10" spans="1:12" ht="18" customHeight="1">
      <c r="A10" s="5" t="s">
        <v>557</v>
      </c>
      <c r="B10" s="9">
        <f>0.0</f>
        <v>0.0</v>
      </c>
      <c r="C10" s="9">
        <f>'INGRESOS'!B26</f>
        <v>0.0</v>
      </c>
      <c r="D10" s="9">
        <f>'INGRESOS'!C26</f>
        <v>65030.4</v>
      </c>
      <c r="E10" s="9">
        <f>'INGRESOS'!D26</f>
        <v>82406.59</v>
      </c>
      <c r="F10" s="9">
        <f>'INGRESOS'!E26</f>
        <v>102380.08</v>
      </c>
      <c r="G10" s="9">
        <f>'INGRESOS'!F26</f>
        <v>122760.27</v>
      </c>
      <c r="H10" s="9">
        <f>'INGRESOS'!G26</f>
        <v>126828.82</v>
      </c>
      <c r="I10" s="9">
        <f>'INGRESOS'!H26</f>
        <v>191837.49</v>
      </c>
      <c r="J10" s="9">
        <f>'INGRESOS'!I26</f>
        <v>206381.05</v>
      </c>
      <c r="K10" s="9">
        <f>'INGRESOS'!J26</f>
        <v>217608.18</v>
      </c>
      <c r="L10" s="9">
        <f>'INGRESOS'!K26</f>
        <v>287976.81</v>
      </c>
    </row>
    <row r="11" spans="1:12" ht="18" customHeight="1">
      <c r="A11" s="8" t="s">
        <v>558</v>
      </c>
      <c r="B11" s="8">
        <f>SUM(B5:B10)</f>
        <v>300000.0</v>
      </c>
      <c r="C11" s="8">
        <f>SUM(C5:C10)</f>
        <v>476889.6</v>
      </c>
      <c r="D11" s="8">
        <f>SUM(D5:D10)</f>
        <v>669345.41</v>
      </c>
      <c r="E11" s="8">
        <f>SUM(E5:E10)</f>
        <v>833193.81</v>
      </c>
      <c r="F11" s="8">
        <f>SUM(F5:F10)</f>
        <v>1002622.08</v>
      </c>
      <c r="G11" s="8">
        <f>SUM(G5:G10)</f>
        <v>1052838.25</v>
      </c>
      <c r="H11" s="8">
        <f>SUM(H5:H10)</f>
        <v>1533637.07</v>
      </c>
      <c r="I11" s="8">
        <f>SUM(I5:I10)</f>
        <v>1705298.55</v>
      </c>
      <c r="J11" s="8">
        <f>SUM(J5:J10)</f>
        <v>1802174.39</v>
      </c>
      <c r="K11" s="8">
        <f>SUM(K5:K10)</f>
        <v>2329438.12</v>
      </c>
      <c r="L11" s="8">
        <f>SUM(L5:L10)</f>
        <v>2549585.64</v>
      </c>
    </row>
    <row r="13" spans="1:12" ht="18" customHeight="1">
      <c r="A13" s="3" t="s">
        <v>559</v>
      </c>
    </row>
    <row r="14" spans="1:12" ht="18" customHeight="1">
      <c r="A14" s="5" t="s">
        <v>560</v>
      </c>
      <c r="B14" s="9">
        <f>'PLAN DE INVERSION'!C5</f>
        <v>118000.0</v>
      </c>
      <c r="C14" s="9">
        <f>0.0</f>
        <v>0.0</v>
      </c>
      <c r="D14" s="9">
        <f>0.0</f>
        <v>0.0</v>
      </c>
      <c r="E14" s="9">
        <f>0.0</f>
        <v>0.0</v>
      </c>
      <c r="F14" s="9">
        <f>0.0</f>
        <v>0.0</v>
      </c>
      <c r="G14" s="9">
        <f>0.0</f>
        <v>0.0</v>
      </c>
      <c r="H14" s="9">
        <f>0.0</f>
        <v>0.0</v>
      </c>
      <c r="I14" s="9">
        <f>0.0</f>
        <v>0.0</v>
      </c>
      <c r="J14" s="9">
        <f>0.0</f>
        <v>0.0</v>
      </c>
      <c r="K14" s="9">
        <f>0.0</f>
        <v>0.0</v>
      </c>
      <c r="L14" s="9">
        <f>0.0</f>
        <v>0.0</v>
      </c>
    </row>
    <row r="15" spans="1:12" ht="18" customHeight="1">
      <c r="A15" s="5" t="s">
        <v>561</v>
      </c>
      <c r="B15" s="9">
        <f>'PLAN DE INVERSION'!C20</f>
        <v>132000.0</v>
      </c>
      <c r="C15" s="9">
        <f>0.0</f>
        <v>0.0</v>
      </c>
      <c r="D15" s="9">
        <f>0.0</f>
        <v>0.0</v>
      </c>
      <c r="E15" s="9">
        <f>0.0</f>
        <v>0.0</v>
      </c>
      <c r="F15" s="9">
        <f>0.0</f>
        <v>0.0</v>
      </c>
      <c r="G15" s="9">
        <f>0.0</f>
        <v>0.0</v>
      </c>
      <c r="H15" s="9">
        <f>0.0</f>
        <v>0.0</v>
      </c>
      <c r="I15" s="9">
        <f>0.0</f>
        <v>0.0</v>
      </c>
      <c r="J15" s="9">
        <f>0.0</f>
        <v>0.0</v>
      </c>
      <c r="K15" s="9">
        <f>0.0</f>
        <v>0.0</v>
      </c>
      <c r="L15" s="9">
        <f>0.0</f>
        <v>0.0</v>
      </c>
    </row>
    <row r="16" spans="1:12" ht="18" customHeight="1">
      <c r="A16" s="5" t="s">
        <v>562</v>
      </c>
      <c r="B16" s="9">
        <f>0.0</f>
        <v>0.0</v>
      </c>
      <c r="C16" s="9">
        <f>'PLANILLA'!B6</f>
        <v>94042.55</v>
      </c>
      <c r="D16" s="9">
        <f>'PLANILLA'!C6</f>
        <v>143526.84</v>
      </c>
      <c r="E16" s="9">
        <f>'PLANILLA'!D6</f>
        <v>165929.12</v>
      </c>
      <c r="F16" s="9">
        <f>'PLANILLA'!E6</f>
        <v>174225.58</v>
      </c>
      <c r="G16" s="9">
        <f>'PLANILLA'!F6</f>
        <v>182936.86</v>
      </c>
      <c r="H16" s="9">
        <f>'PLANILLA'!G6</f>
        <v>207309.64</v>
      </c>
      <c r="I16" s="9">
        <f>'PLANILLA'!H6</f>
        <v>217675.12</v>
      </c>
      <c r="J16" s="9">
        <f>'PLANILLA'!I6</f>
        <v>273341.04</v>
      </c>
      <c r="K16" s="9">
        <f>'PLANILLA'!J6</f>
        <v>287008.09</v>
      </c>
      <c r="L16" s="9">
        <f>'PLANILLA'!K6</f>
        <v>301358.5</v>
      </c>
    </row>
    <row r="17" spans="1:12" ht="18" customHeight="1">
      <c r="A17" s="5" t="s">
        <v>563</v>
      </c>
      <c r="B17" s="9">
        <f>0.0</f>
        <v>0.0</v>
      </c>
      <c r="C17" s="9">
        <f>SUM('COSTOS'!B67:B71)</f>
        <v>28300.0</v>
      </c>
      <c r="D17" s="9">
        <f>SUM('COSTOS'!C67:C71)</f>
        <v>38432.0</v>
      </c>
      <c r="E17" s="9">
        <f>SUM('COSTOS'!D67:D71)</f>
        <v>39969.28</v>
      </c>
      <c r="F17" s="9">
        <f>SUM('COSTOS'!E67:E71)</f>
        <v>41568.05</v>
      </c>
      <c r="G17" s="9">
        <f>SUM('COSTOS'!F67:F71)</f>
        <v>43230.77</v>
      </c>
      <c r="H17" s="9">
        <f>SUM('COSTOS'!G67:G71)</f>
        <v>44960.0</v>
      </c>
      <c r="I17" s="9">
        <f>SUM('COSTOS'!H67:H71)</f>
        <v>46758.4</v>
      </c>
      <c r="J17" s="9">
        <f>SUM('COSTOS'!I67:I71)</f>
        <v>48628.74</v>
      </c>
      <c r="K17" s="9">
        <f>SUM('COSTOS'!J67:J71)</f>
        <v>50573.89</v>
      </c>
      <c r="L17" s="9">
        <f>SUM('COSTOS'!K67:K71)</f>
        <v>52596.85</v>
      </c>
    </row>
    <row r="18" spans="1:12" ht="18" customHeight="1">
      <c r="A18" s="5" t="s">
        <v>564</v>
      </c>
      <c r="B18" s="9">
        <f>0.0</f>
        <v>0.0</v>
      </c>
      <c r="C18" s="9">
        <f>'COSTOS'!B58</f>
        <v>77028.0</v>
      </c>
      <c r="D18" s="9">
        <f>'COSTOS'!C58</f>
        <v>89844.84</v>
      </c>
      <c r="E18" s="9">
        <f>'COSTOS'!D58</f>
        <v>105377.92</v>
      </c>
      <c r="F18" s="9">
        <f>'COSTOS'!E58</f>
        <v>120340.71</v>
      </c>
      <c r="G18" s="9">
        <f>'COSTOS'!F58</f>
        <v>115502.19</v>
      </c>
      <c r="H18" s="9">
        <f>'COSTOS'!G58</f>
        <v>183968.95</v>
      </c>
      <c r="I18" s="9">
        <f>'COSTOS'!H58</f>
        <v>186776.6</v>
      </c>
      <c r="J18" s="9">
        <f>'COSTOS'!I58</f>
        <v>186679.6</v>
      </c>
      <c r="K18" s="9">
        <f>'COSTOS'!J58</f>
        <v>257782.91</v>
      </c>
      <c r="L18" s="9">
        <f>'COSTOS'!K58</f>
        <v>263792.5</v>
      </c>
    </row>
    <row r="19" spans="1:12" ht="18" customHeight="1">
      <c r="A19" s="5" t="s">
        <v>565</v>
      </c>
      <c r="B19" s="9">
        <f>0.0</f>
        <v>0.0</v>
      </c>
      <c r="C19" s="9">
        <f>'COSTOS'!B60</f>
        <v>152772.2</v>
      </c>
      <c r="D19" s="9">
        <f>'COSTOS'!C60</f>
        <v>178192.27</v>
      </c>
      <c r="E19" s="9">
        <f>'COSTOS'!D60</f>
        <v>208999.55</v>
      </c>
      <c r="F19" s="9">
        <f>'COSTOS'!E60</f>
        <v>238675.75</v>
      </c>
      <c r="G19" s="9">
        <f>'COSTOS'!F60</f>
        <v>229079.34</v>
      </c>
      <c r="H19" s="9">
        <f>'COSTOS'!G60</f>
        <v>364871.75</v>
      </c>
      <c r="I19" s="9">
        <f>'COSTOS'!H60</f>
        <v>370440.25</v>
      </c>
      <c r="J19" s="9">
        <f>'COSTOS'!I60</f>
        <v>370247.87</v>
      </c>
      <c r="K19" s="9">
        <f>'COSTOS'!J60</f>
        <v>511269.43</v>
      </c>
      <c r="L19" s="9">
        <f>'COSTOS'!K60</f>
        <v>523188.47</v>
      </c>
    </row>
    <row r="20" spans="1:12" ht="18" customHeight="1">
      <c r="A20" s="5" t="s">
        <v>135</v>
      </c>
      <c r="B20" s="9">
        <f>0.0</f>
        <v>0.0</v>
      </c>
      <c r="C20" s="9">
        <f>'COSTOS'!B61</f>
        <v>0.0</v>
      </c>
      <c r="D20" s="9">
        <f>'COSTOS'!C61</f>
        <v>26959.8</v>
      </c>
      <c r="E20" s="9">
        <f>'COSTOS'!D61</f>
        <v>31445.69</v>
      </c>
      <c r="F20" s="9">
        <f>'COSTOS'!E61</f>
        <v>36882.27</v>
      </c>
      <c r="G20" s="9">
        <f>'COSTOS'!F61</f>
        <v>42119.25</v>
      </c>
      <c r="H20" s="9">
        <f>'COSTOS'!G61</f>
        <v>40425.77</v>
      </c>
      <c r="I20" s="9">
        <f>'COSTOS'!H61</f>
        <v>64389.13</v>
      </c>
      <c r="J20" s="9">
        <f>'COSTOS'!I61</f>
        <v>65371.81</v>
      </c>
      <c r="K20" s="9">
        <f>'COSTOS'!J61</f>
        <v>65337.86</v>
      </c>
      <c r="L20" s="9">
        <f>'COSTOS'!K61</f>
        <v>90224.02</v>
      </c>
    </row>
    <row r="21" spans="1:12" ht="18" customHeight="1">
      <c r="A21" s="5" t="s">
        <v>537</v>
      </c>
      <c r="B21" s="9">
        <f>0.0</f>
        <v>0.0</v>
      </c>
      <c r="C21" s="9">
        <f>'GASTOS_ADM_VTAS_FINANZAS'!B12+'GASTOS_ADM_VTAS_FINANZAS'!B13</f>
        <v>97503.54</v>
      </c>
      <c r="D21" s="9">
        <f>'GASTOS_ADM_VTAS_FINANZAS'!C12+'GASTOS_ADM_VTAS_FINANZAS'!C13</f>
        <v>102218.72</v>
      </c>
      <c r="E21" s="9">
        <f>'GASTOS_ADM_VTAS_FINANZAS'!D12+'GASTOS_ADM_VTAS_FINANZAS'!D13</f>
        <v>107163.26</v>
      </c>
      <c r="F21" s="9">
        <f>'GASTOS_ADM_VTAS_FINANZAS'!E12+'GASTOS_ADM_VTAS_FINANZAS'!E13</f>
        <v>112348.36</v>
      </c>
      <c r="G21" s="9">
        <f>'GASTOS_ADM_VTAS_FINANZAS'!F12+'GASTOS_ADM_VTAS_FINANZAS'!F13</f>
        <v>133011.74</v>
      </c>
      <c r="H21" s="9">
        <f>'GASTOS_ADM_VTAS_FINANZAS'!G12+'GASTOS_ADM_VTAS_FINANZAS'!G13</f>
        <v>139475.15</v>
      </c>
      <c r="I21" s="9">
        <f>'GASTOS_ADM_VTAS_FINANZAS'!H12+'GASTOS_ADM_VTAS_FINANZAS'!H13</f>
        <v>146254.24</v>
      </c>
      <c r="J21" s="9">
        <f>'GASTOS_ADM_VTAS_FINANZAS'!I12+'GASTOS_ADM_VTAS_FINANZAS'!I13</f>
        <v>153364.5</v>
      </c>
      <c r="K21" s="9">
        <f>'GASTOS_ADM_VTAS_FINANZAS'!J12+'GASTOS_ADM_VTAS_FINANZAS'!J13</f>
        <v>160822.18</v>
      </c>
      <c r="L21" s="9">
        <f>'GASTOS_ADM_VTAS_FINANZAS'!K12+'GASTOS_ADM_VTAS_FINANZAS'!K13</f>
        <v>168644.32</v>
      </c>
    </row>
    <row r="22" spans="1:12" ht="18" customHeight="1">
      <c r="A22" s="5" t="s">
        <v>536</v>
      </c>
      <c r="B22" s="9">
        <f>0.0</f>
        <v>0.0</v>
      </c>
      <c r="C22" s="9">
        <f>'GASTOS_ADM_VTAS_FINANZAS'!B8</f>
        <v>44773.94</v>
      </c>
      <c r="D22" s="9">
        <f>'GASTOS_ADM_VTAS_FINANZAS'!C8</f>
        <v>49795.27</v>
      </c>
      <c r="E22" s="9">
        <f>'GASTOS_ADM_VTAS_FINANZAS'!D8</f>
        <v>55421.38</v>
      </c>
      <c r="F22" s="9">
        <f>'GASTOS_ADM_VTAS_FINANZAS'!E8</f>
        <v>76424.74</v>
      </c>
      <c r="G22" s="9">
        <f>'GASTOS_ADM_VTAS_FINANZAS'!F8</f>
        <v>79634.86</v>
      </c>
      <c r="H22" s="9">
        <f>'GASTOS_ADM_VTAS_FINANZAS'!G8</f>
        <v>95651.77</v>
      </c>
      <c r="I22" s="9">
        <f>'GASTOS_ADM_VTAS_FINANZAS'!H8</f>
        <v>101271.29</v>
      </c>
      <c r="J22" s="9">
        <f>'GASTOS_ADM_VTAS_FINANZAS'!I8</f>
        <v>121547.53</v>
      </c>
      <c r="K22" s="9">
        <f>'GASTOS_ADM_VTAS_FINANZAS'!J8</f>
        <v>139807.73</v>
      </c>
      <c r="L22" s="9">
        <f>'GASTOS_ADM_VTAS_FINANZAS'!K8</f>
        <v>147834.47</v>
      </c>
    </row>
    <row r="23" spans="1:12" ht="18" customHeight="1">
      <c r="A23" s="5" t="s">
        <v>566</v>
      </c>
      <c r="B23" s="9">
        <f>0.0</f>
        <v>0.0</v>
      </c>
      <c r="C23" s="9">
        <f>0</f>
        <v>0.0</v>
      </c>
      <c r="D23" s="9">
        <f>'ESTADO DE RESULTADOS'!B17</f>
        <v>0.0</v>
      </c>
      <c r="E23" s="9">
        <f>'ESTADO DE RESULTADOS'!C17</f>
        <v>0.0</v>
      </c>
      <c r="F23" s="9">
        <f>'ESTADO DE RESULTADOS'!D17</f>
        <v>14946.62</v>
      </c>
      <c r="G23" s="9">
        <f>'ESTADO DE RESULTADOS'!E17</f>
        <v>40702.13</v>
      </c>
      <c r="H23" s="9">
        <f>'ESTADO DE RESULTADOS'!F17</f>
        <v>50057.93</v>
      </c>
      <c r="I23" s="9">
        <f>'ESTADO DE RESULTADOS'!G17</f>
        <v>140448.32</v>
      </c>
      <c r="J23" s="9">
        <f>'ESTADO DE RESULTADOS'!H17</f>
        <v>167857.68</v>
      </c>
      <c r="K23" s="9">
        <f>'ESTADO DE RESULTADOS'!I17</f>
        <v>172463.48</v>
      </c>
      <c r="L23" s="9">
        <f>'ESTADO DE RESULTADOS'!J17</f>
        <v>265658.27</v>
      </c>
    </row>
    <row r="24" spans="1:12" ht="18" customHeight="1">
      <c r="A24" s="5" t="s">
        <v>567</v>
      </c>
      <c r="B24" s="9">
        <f>0.0</f>
        <v>0.0</v>
      </c>
      <c r="C24" s="9">
        <f>'GASTOS_ADM_VTAS_FINANZAS'!B20</f>
        <v>32400.0</v>
      </c>
      <c r="D24" s="9">
        <f>'GASTOS_ADM_VTAS_FINANZAS'!C20</f>
        <v>32400.0</v>
      </c>
      <c r="E24" s="9">
        <f>'GASTOS_ADM_VTAS_FINANZAS'!D20</f>
        <v>32400.0</v>
      </c>
      <c r="F24" s="9">
        <f>'GASTOS_ADM_VTAS_FINANZAS'!E20</f>
        <v>28968.51</v>
      </c>
      <c r="G24" s="9">
        <f>'GASTOS_ADM_VTAS_FINANZAS'!F20</f>
        <v>24919.36</v>
      </c>
      <c r="H24" s="9">
        <f>'GASTOS_ADM_VTAS_FINANZAS'!G20</f>
        <v>20141.35</v>
      </c>
      <c r="I24" s="9">
        <f>'GASTOS_ADM_VTAS_FINANZAS'!H20</f>
        <v>14503.31</v>
      </c>
      <c r="J24" s="9">
        <f>'GASTOS_ADM_VTAS_FINANZAS'!I20</f>
        <v>7850.41</v>
      </c>
      <c r="K24" s="9">
        <f>'GASTOS_ADM_VTAS_FINANZAS'!J20</f>
        <v>0.0</v>
      </c>
      <c r="L24" s="9">
        <f>'GASTOS_ADM_VTAS_FINANZAS'!K20</f>
        <v>0.0</v>
      </c>
    </row>
    <row r="25" spans="1:12" ht="18" customHeight="1">
      <c r="A25" s="5" t="s">
        <v>340</v>
      </c>
      <c r="B25" s="9">
        <f>0.0</f>
        <v>0.0</v>
      </c>
      <c r="C25" s="9">
        <f>'GASTOS_ADM_VTAS_FINANZAS'!B21</f>
        <v>0.0</v>
      </c>
      <c r="D25" s="9">
        <f>'GASTOS_ADM_VTAS_FINANZAS'!C21</f>
        <v>0.0</v>
      </c>
      <c r="E25" s="9">
        <f>'GASTOS_ADM_VTAS_FINANZAS'!D21</f>
        <v>19063.82</v>
      </c>
      <c r="F25" s="9">
        <f>'GASTOS_ADM_VTAS_FINANZAS'!E21</f>
        <v>22495.31</v>
      </c>
      <c r="G25" s="9">
        <f>'GASTOS_ADM_VTAS_FINANZAS'!F21</f>
        <v>26544.47</v>
      </c>
      <c r="H25" s="9">
        <f>'GASTOS_ADM_VTAS_FINANZAS'!G21</f>
        <v>31322.47</v>
      </c>
      <c r="I25" s="9">
        <f>'GASTOS_ADM_VTAS_FINANZAS'!H21</f>
        <v>36960.52</v>
      </c>
      <c r="J25" s="9">
        <f>'GASTOS_ADM_VTAS_FINANZAS'!I21</f>
        <v>43613.41</v>
      </c>
      <c r="K25" s="9">
        <f>'GASTOS_ADM_VTAS_FINANZAS'!J21</f>
        <v>0.0</v>
      </c>
      <c r="L25" s="9">
        <f>'GASTOS_ADM_VTAS_FINANZAS'!K21</f>
        <v>0.0</v>
      </c>
    </row>
    <row r="26" spans="1:12" ht="18" customHeight="1">
      <c r="A26" s="8" t="s">
        <v>568</v>
      </c>
      <c r="B26" s="8">
        <f>SUM(B14:B25)</f>
        <v>250000.0</v>
      </c>
      <c r="C26" s="8">
        <f>SUM(C14:C25)</f>
        <v>526820.23</v>
      </c>
      <c r="D26" s="8">
        <f>SUM(D14:D25)</f>
        <v>661369.74</v>
      </c>
      <c r="E26" s="8">
        <f>SUM(E14:E25)</f>
        <v>765770.03</v>
      </c>
      <c r="F26" s="8">
        <f>SUM(F14:F25)</f>
        <v>866875.91</v>
      </c>
      <c r="G26" s="8">
        <f>SUM(G14:G25)</f>
        <v>917680.97</v>
      </c>
      <c r="H26" s="8">
        <f>SUM(H14:H25)</f>
        <v>1178184.79</v>
      </c>
      <c r="I26" s="8">
        <f>SUM(I14:I25)</f>
        <v>1325477.19</v>
      </c>
      <c r="J26" s="8">
        <f>SUM(J14:J25)</f>
        <v>1438502.6</v>
      </c>
      <c r="K26" s="8">
        <f>SUM(K14:K25)</f>
        <v>1645065.58</v>
      </c>
      <c r="L26" s="8">
        <f>SUM(L14:L25)</f>
        <v>1813297.39</v>
      </c>
    </row>
    <row r="28" spans="1:12" ht="18" customHeight="1">
      <c r="A28" s="8" t="s">
        <v>569</v>
      </c>
      <c r="B28" s="8">
        <f>B11-B26</f>
        <v>50000.0</v>
      </c>
      <c r="C28" s="8">
        <f>C11-C26</f>
        <v>-49930.63</v>
      </c>
      <c r="D28" s="8">
        <f>D11-D26</f>
        <v>7975.66</v>
      </c>
      <c r="E28" s="8">
        <f>E11-E26</f>
        <v>67423.78</v>
      </c>
      <c r="F28" s="8">
        <f>F11-F26</f>
        <v>135746.16</v>
      </c>
      <c r="G28" s="8">
        <f>G11-G26</f>
        <v>135157.29</v>
      </c>
      <c r="H28" s="8">
        <f>H11-H26</f>
        <v>355452.28</v>
      </c>
      <c r="I28" s="8">
        <f>I11-I26</f>
        <v>379821.36</v>
      </c>
      <c r="J28" s="8">
        <f>J11-J26</f>
        <v>363671.79</v>
      </c>
      <c r="K28" s="8">
        <f>K11-K26</f>
        <v>684372.55</v>
      </c>
      <c r="L28" s="8">
        <f>L11-L26</f>
        <v>736288.25</v>
      </c>
    </row>
    <row r="30" spans="1:12" ht="18" customHeight="1">
      <c r="A30" s="5" t="s">
        <v>570</v>
      </c>
      <c r="B30" s="9">
        <f>0</f>
        <v>0.0</v>
      </c>
      <c r="C30" s="9">
        <f>B32</f>
        <v>50000.0</v>
      </c>
      <c r="D30" s="9">
        <f>C32</f>
        <v>69.37</v>
      </c>
      <c r="E30" s="9">
        <f>D32</f>
        <v>8045.03</v>
      </c>
      <c r="F30" s="9">
        <f>E32</f>
        <v>75468.82</v>
      </c>
      <c r="G30" s="9">
        <f>F32</f>
        <v>211214.98</v>
      </c>
      <c r="H30" s="9">
        <f>G32</f>
        <v>346372.27</v>
      </c>
      <c r="I30" s="9">
        <f>H32</f>
        <v>701824.55</v>
      </c>
      <c r="J30" s="9">
        <f>I32</f>
        <v>1081645.91</v>
      </c>
      <c r="K30" s="9">
        <f>J32</f>
        <v>1445317.7</v>
      </c>
      <c r="L30" s="9">
        <f>K32</f>
        <v>2129690.25</v>
      </c>
    </row>
    <row r="32" spans="1:12" ht="18" customHeight="1">
      <c r="A32" s="8" t="s">
        <v>571</v>
      </c>
      <c r="B32" s="8">
        <f>B30+B28</f>
        <v>50000.0</v>
      </c>
      <c r="C32" s="8">
        <f>C30+C28</f>
        <v>69.37</v>
      </c>
      <c r="D32" s="8">
        <f>D30+D28</f>
        <v>8045.03</v>
      </c>
      <c r="E32" s="8">
        <f>E30+E28</f>
        <v>75468.82</v>
      </c>
      <c r="F32" s="8">
        <f>F30+F28</f>
        <v>211214.98</v>
      </c>
      <c r="G32" s="8">
        <f>G30+G28</f>
        <v>346372.27</v>
      </c>
      <c r="H32" s="8">
        <f>H30+H28</f>
        <v>701824.55</v>
      </c>
      <c r="I32" s="8">
        <f>I30+I28</f>
        <v>1081645.91</v>
      </c>
      <c r="J32" s="8">
        <f>J30+J28</f>
        <v>1445317.7</v>
      </c>
      <c r="K32" s="8">
        <f>K30+K28</f>
        <v>2129690.25</v>
      </c>
      <c r="L32" s="8">
        <f>L30+L28</f>
        <v>2865978.5</v>
      </c>
    </row>
    <row r="34" spans="1:12" ht="18" customHeight="1">
      <c r="A34" s="13" t="s">
        <v>572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</row>
    <row r="35" spans="1:12" ht="18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9" spans="1:12" ht="18" customHeight="1">
      <c r="A39" s="13" t="s">
        <v>515</v>
      </c>
      <c r="I39" s="13" t="s">
        <v>516</v>
      </c>
    </row>
  </sheetData>
  <mergeCells count="3">
    <mergeCell ref="A1:L1"/>
    <mergeCell ref="A2:L2"/>
    <mergeCell ref="A34:L35"/>
  </mergeCells>
  <pageMargins left="0.25" right="0.25" top="0.35" bottom="0.3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40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36.7109375" customWidth="1"/>
    <col min="2" max="12" width="13.7109375" customWidth="1"/>
  </cols>
  <sheetData>
    <row r="1" spans="1:12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573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8" customHeight="1">
      <c r="A3" s="4" t="s">
        <v>532</v>
      </c>
      <c r="B3" s="4" t="s">
        <v>551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</row>
    <row r="4" spans="1:12" ht="18" customHeight="1">
      <c r="A4" s="3" t="s">
        <v>463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ht="18" customHeight="1">
      <c r="A5" s="20" t="s">
        <v>497</v>
      </c>
    </row>
    <row r="6" spans="1:12" ht="18" customHeight="1">
      <c r="A6" s="5" t="s">
        <v>499</v>
      </c>
      <c r="B6" s="9">
        <f>'BALANCE DE APERTURA'!B6</f>
        <v>50000.0</v>
      </c>
      <c r="C6" s="9">
        <f>'PRESUPUESTO CAJA'!C32</f>
        <v>69.37</v>
      </c>
      <c r="D6" s="9">
        <f>'PRESUPUESTO CAJA'!D32</f>
        <v>8045.03</v>
      </c>
      <c r="E6" s="9">
        <f>'PRESUPUESTO CAJA'!E32</f>
        <v>75468.82</v>
      </c>
      <c r="F6" s="9">
        <f>'PRESUPUESTO CAJA'!F32</f>
        <v>211214.98</v>
      </c>
      <c r="G6" s="9">
        <f>'PRESUPUESTO CAJA'!G32</f>
        <v>346372.27</v>
      </c>
      <c r="H6" s="9">
        <f>'PRESUPUESTO CAJA'!H32</f>
        <v>701824.55</v>
      </c>
      <c r="I6" s="9">
        <f>'PRESUPUESTO CAJA'!I32</f>
        <v>1081645.91</v>
      </c>
      <c r="J6" s="9">
        <f>'PRESUPUESTO CAJA'!J32</f>
        <v>1445317.7</v>
      </c>
      <c r="K6" s="9">
        <f>'PRESUPUESTO CAJA'!K32</f>
        <v>2129690.25</v>
      </c>
      <c r="L6" s="9">
        <f>'PRESUPUESTO CAJA'!L32</f>
        <v>2865978.5</v>
      </c>
    </row>
    <row r="7" spans="1:12" ht="18" customHeight="1">
      <c r="A7" s="5" t="s">
        <v>574</v>
      </c>
      <c r="B7" s="9">
        <f>0</f>
        <v>0.0</v>
      </c>
      <c r="C7" s="9">
        <f>'INGRESOS'!B28</f>
        <v>65030.4</v>
      </c>
      <c r="D7" s="9">
        <f>'INGRESOS'!C28</f>
        <v>82406.59</v>
      </c>
      <c r="E7" s="9">
        <f>'INGRESOS'!D28</f>
        <v>102380.08</v>
      </c>
      <c r="F7" s="9">
        <f>'INGRESOS'!E28</f>
        <v>122760.27</v>
      </c>
      <c r="G7" s="9">
        <f>'INGRESOS'!F28</f>
        <v>126828.82</v>
      </c>
      <c r="H7" s="9">
        <f>'INGRESOS'!G28</f>
        <v>191837.49</v>
      </c>
      <c r="I7" s="9">
        <f>'INGRESOS'!H28</f>
        <v>206381.05</v>
      </c>
      <c r="J7" s="9">
        <f>'INGRESOS'!I28</f>
        <v>217608.18</v>
      </c>
      <c r="K7" s="9">
        <f>'INGRESOS'!J28</f>
        <v>287976.81</v>
      </c>
      <c r="L7" s="9">
        <f>'INGRESOS'!K28</f>
        <v>308401.2</v>
      </c>
    </row>
    <row r="8" spans="1:12" ht="18" customHeight="1">
      <c r="A8" s="5" t="s">
        <v>500</v>
      </c>
      <c r="B8" s="9">
        <f>0</f>
        <v>0.0</v>
      </c>
      <c r="C8" s="9">
        <f>0</f>
        <v>0.0</v>
      </c>
      <c r="D8" s="9">
        <f>0</f>
        <v>0.0</v>
      </c>
      <c r="E8" s="9">
        <f>0</f>
        <v>0.0</v>
      </c>
      <c r="F8" s="9">
        <f>0</f>
        <v>0.0</v>
      </c>
      <c r="G8" s="9">
        <f>0</f>
        <v>0.0</v>
      </c>
      <c r="H8" s="9">
        <f>0</f>
        <v>0.0</v>
      </c>
      <c r="I8" s="9">
        <f>0</f>
        <v>0.0</v>
      </c>
      <c r="J8" s="9">
        <f>0</f>
        <v>0.0</v>
      </c>
      <c r="K8" s="9">
        <f>0</f>
        <v>0.0</v>
      </c>
      <c r="L8" s="9">
        <f>0</f>
        <v>0.0</v>
      </c>
    </row>
    <row r="10" spans="1:12" ht="18" customHeight="1">
      <c r="A10" s="8" t="s">
        <v>575</v>
      </c>
      <c r="B10" s="8">
        <f>'BALANCE DE APERTURA'!B9</f>
        <v>50000.0</v>
      </c>
      <c r="C10" s="8">
        <f>SUM(C6:C8)</f>
        <v>65099.77</v>
      </c>
      <c r="D10" s="8">
        <f>SUM(D6:D8)</f>
        <v>90451.63</v>
      </c>
      <c r="E10" s="8">
        <f>SUM(E6:E8)</f>
        <v>177848.89</v>
      </c>
      <c r="F10" s="8">
        <f>SUM(F6:F8)</f>
        <v>333975.25</v>
      </c>
      <c r="G10" s="8">
        <f>SUM(G6:G8)</f>
        <v>473201.08</v>
      </c>
      <c r="H10" s="8">
        <f>SUM(H6:H8)</f>
        <v>893662.04</v>
      </c>
      <c r="I10" s="8">
        <f>SUM(I6:I8)</f>
        <v>1288026.97</v>
      </c>
      <c r="J10" s="8">
        <f>SUM(J6:J8)</f>
        <v>1662925.89</v>
      </c>
      <c r="K10" s="8">
        <f>SUM(K6:K8)</f>
        <v>2417667.06</v>
      </c>
      <c r="L10" s="8">
        <f>SUM(L6:L8)</f>
        <v>3174379.7</v>
      </c>
    </row>
    <row r="11" spans="1:12" ht="18" customHeight="1">
      <c r="A11" s="20" t="s">
        <v>505</v>
      </c>
    </row>
    <row r="12" spans="1:12" ht="18" customHeight="1">
      <c r="A12" s="5" t="s">
        <v>380</v>
      </c>
      <c r="B12" s="9">
        <f>'BALANCE DE APERTURA'!B17</f>
        <v>118000.0</v>
      </c>
      <c r="C12" s="9">
        <f>'DEPRECIACIONES AMORTIZACION'!B12</f>
        <v>94042.0</v>
      </c>
      <c r="D12" s="9">
        <f>'DEPRECIACIONES AMORTIZACION'!C12</f>
        <v>70084.0</v>
      </c>
      <c r="E12" s="9">
        <f>'DEPRECIACIONES AMORTIZACION'!D12</f>
        <v>46126.0</v>
      </c>
      <c r="F12" s="9">
        <f>'DEPRECIACIONES AMORTIZACION'!E12</f>
        <v>22168.0</v>
      </c>
      <c r="G12" s="9">
        <f>'DEPRECIACIONES AMORTIZACION'!F12</f>
        <v>10090.0</v>
      </c>
      <c r="H12" s="9">
        <f>'DEPRECIACIONES AMORTIZACION'!G12</f>
        <v>8308.0</v>
      </c>
      <c r="I12" s="9">
        <f>'DEPRECIACIONES AMORTIZACION'!H12</f>
        <v>6526.0</v>
      </c>
      <c r="J12" s="9">
        <f>'DEPRECIACIONES AMORTIZACION'!I12</f>
        <v>4744.0</v>
      </c>
      <c r="K12" s="9">
        <f>'DEPRECIACIONES AMORTIZACION'!J12</f>
        <v>2962.0</v>
      </c>
      <c r="L12" s="9">
        <f>'DEPRECIACIONES AMORTIZACION'!K12</f>
        <v>1180.0</v>
      </c>
    </row>
    <row r="14" spans="1:12" ht="18" customHeight="1">
      <c r="A14" s="8" t="s">
        <v>576</v>
      </c>
      <c r="B14" s="8">
        <f>B12</f>
        <v>118000.0</v>
      </c>
      <c r="C14" s="8">
        <f>C12</f>
        <v>94042.0</v>
      </c>
      <c r="D14" s="8">
        <f>D12</f>
        <v>70084.0</v>
      </c>
      <c r="E14" s="8">
        <f>E12</f>
        <v>46126.0</v>
      </c>
      <c r="F14" s="8">
        <f>F12</f>
        <v>22168.0</v>
      </c>
      <c r="G14" s="8">
        <f>G12</f>
        <v>10090.0</v>
      </c>
      <c r="H14" s="8">
        <f>H12</f>
        <v>8308.0</v>
      </c>
      <c r="I14" s="8">
        <f>I12</f>
        <v>6526.0</v>
      </c>
      <c r="J14" s="8">
        <f>J12</f>
        <v>4744.0</v>
      </c>
      <c r="K14" s="8">
        <f>K12</f>
        <v>2962.0</v>
      </c>
      <c r="L14" s="8">
        <f>L12</f>
        <v>1180.0</v>
      </c>
    </row>
    <row r="15" spans="1:12" ht="18" customHeight="1">
      <c r="A15" s="20" t="s">
        <v>577</v>
      </c>
    </row>
    <row r="16" spans="1:12" ht="18" customHeight="1">
      <c r="A16" s="5" t="s">
        <v>387</v>
      </c>
      <c r="B16" s="9">
        <f>'BALANCE DE APERTURA'!B24</f>
        <v>132000.0</v>
      </c>
      <c r="C16" s="9">
        <f>'DEPRECIACIONES AMORTIZACION'!B24</f>
        <v>105600.0</v>
      </c>
      <c r="D16" s="9">
        <f>'DEPRECIACIONES AMORTIZACION'!C24</f>
        <v>79200.0</v>
      </c>
      <c r="E16" s="9">
        <f>'DEPRECIACIONES AMORTIZACION'!D24</f>
        <v>52800.0</v>
      </c>
      <c r="F16" s="9">
        <f>'DEPRECIACIONES AMORTIZACION'!E24</f>
        <v>26400.0</v>
      </c>
      <c r="G16" s="9">
        <f>'DEPRECIACIONES AMORTIZACION'!F24</f>
        <v>0.0</v>
      </c>
      <c r="H16" s="9">
        <f>'DEPRECIACIONES AMORTIZACION'!G24</f>
        <v>0.0</v>
      </c>
      <c r="I16" s="9">
        <f>'DEPRECIACIONES AMORTIZACION'!H24</f>
        <v>0.0</v>
      </c>
      <c r="J16" s="9">
        <f>'DEPRECIACIONES AMORTIZACION'!I24</f>
        <v>0.0</v>
      </c>
      <c r="K16" s="9">
        <f>'DEPRECIACIONES AMORTIZACION'!J24</f>
        <v>0.0</v>
      </c>
      <c r="L16" s="9">
        <f>'DEPRECIACIONES AMORTIZACION'!K24</f>
        <v>0.0</v>
      </c>
    </row>
    <row r="17" spans="1:12" ht="18" customHeight="1">
      <c r="A17" s="8" t="s">
        <v>578</v>
      </c>
      <c r="B17" s="8">
        <f>B16</f>
        <v>132000.0</v>
      </c>
      <c r="C17" s="8">
        <f>C16</f>
        <v>105600.0</v>
      </c>
      <c r="D17" s="8">
        <f>D16</f>
        <v>79200.0</v>
      </c>
      <c r="E17" s="8">
        <f>E16</f>
        <v>52800.0</v>
      </c>
      <c r="F17" s="8">
        <f>F16</f>
        <v>26400.0</v>
      </c>
      <c r="G17" s="8">
        <f>G16</f>
        <v>0.0</v>
      </c>
      <c r="H17" s="8">
        <f>H16</f>
        <v>0.0</v>
      </c>
      <c r="I17" s="8">
        <f>I16</f>
        <v>0.0</v>
      </c>
      <c r="J17" s="8">
        <f>J16</f>
        <v>0.0</v>
      </c>
      <c r="K17" s="8">
        <f>K16</f>
        <v>0.0</v>
      </c>
      <c r="L17" s="8">
        <f>L16</f>
        <v>0.0</v>
      </c>
    </row>
    <row r="18" spans="1:12" ht="18" customHeight="1">
      <c r="A18" s="8" t="s">
        <v>512</v>
      </c>
      <c r="B18" s="8">
        <f>'BALANCE DE APERTURA'!B26</f>
        <v>300000.0</v>
      </c>
      <c r="C18" s="8">
        <f>SUM(C10,C14,C17)</f>
        <v>264741.77</v>
      </c>
      <c r="D18" s="8">
        <f>SUM(D10,D14,D17)</f>
        <v>239735.63</v>
      </c>
      <c r="E18" s="8">
        <f>SUM(E10,E14,E17)</f>
        <v>276774.89</v>
      </c>
      <c r="F18" s="8">
        <f>SUM(F10,F14,F17)</f>
        <v>382543.25</v>
      </c>
      <c r="G18" s="8">
        <f>SUM(G10,G14,G17)</f>
        <v>483291.08</v>
      </c>
      <c r="H18" s="8">
        <f>SUM(H10,H14,H17)</f>
        <v>901970.04</v>
      </c>
      <c r="I18" s="8">
        <f>SUM(I10,I14,I17)</f>
        <v>1294552.97</v>
      </c>
      <c r="J18" s="8">
        <f>SUM(J10,J14,J17)</f>
        <v>1667669.89</v>
      </c>
      <c r="K18" s="8">
        <f>SUM(K10,K14,K17)</f>
        <v>2420629.06</v>
      </c>
      <c r="L18" s="8">
        <f>SUM(L10,L14,L17)</f>
        <v>3175559.7</v>
      </c>
    </row>
    <row r="19" spans="1:12" ht="18" customHeight="1">
      <c r="A19" s="3" t="s">
        <v>579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ht="18" customHeight="1">
      <c r="A20" s="20" t="s">
        <v>497</v>
      </c>
    </row>
    <row r="21" spans="1:12" ht="18" customHeight="1">
      <c r="A21" s="5" t="s">
        <v>580</v>
      </c>
      <c r="B21" s="9">
        <f>0</f>
        <v>0.0</v>
      </c>
      <c r="C21" s="9">
        <f>'COSTOS'!B63</f>
        <v>26959.8</v>
      </c>
      <c r="D21" s="9">
        <f>'COSTOS'!C63</f>
        <v>31445.69</v>
      </c>
      <c r="E21" s="9">
        <f>'COSTOS'!D63</f>
        <v>36882.27</v>
      </c>
      <c r="F21" s="9">
        <f>'COSTOS'!E63</f>
        <v>42119.25</v>
      </c>
      <c r="G21" s="9">
        <f>'COSTOS'!F63</f>
        <v>40425.77</v>
      </c>
      <c r="H21" s="9">
        <f>'COSTOS'!G63</f>
        <v>64389.13</v>
      </c>
      <c r="I21" s="9">
        <f>'COSTOS'!H63</f>
        <v>65371.81</v>
      </c>
      <c r="J21" s="9">
        <f>'COSTOS'!I63</f>
        <v>65337.86</v>
      </c>
      <c r="K21" s="9">
        <f>'COSTOS'!J63</f>
        <v>90224.02</v>
      </c>
      <c r="L21" s="9">
        <f>'COSTOS'!K63</f>
        <v>92327.38</v>
      </c>
    </row>
    <row r="22" spans="1:12" ht="18" customHeight="1">
      <c r="A22" s="5" t="s">
        <v>581</v>
      </c>
      <c r="B22" s="9">
        <f>'BALANCE DE APERTURA'!E6</f>
        <v>0.0</v>
      </c>
      <c r="C22" s="9">
        <f>'GASTOS_ADM_VTAS_FINANZAS'!C21</f>
        <v>0.0</v>
      </c>
      <c r="D22" s="9">
        <f>'GASTOS_ADM_VTAS_FINANZAS'!D21</f>
        <v>19063.82</v>
      </c>
      <c r="E22" s="9">
        <f>'GASTOS_ADM_VTAS_FINANZAS'!E21</f>
        <v>22495.31</v>
      </c>
      <c r="F22" s="9">
        <f>'GASTOS_ADM_VTAS_FINANZAS'!F21</f>
        <v>26544.47</v>
      </c>
      <c r="G22" s="9">
        <f>'GASTOS_ADM_VTAS_FINANZAS'!G21</f>
        <v>31322.47</v>
      </c>
      <c r="H22" s="9">
        <f>'GASTOS_ADM_VTAS_FINANZAS'!H21</f>
        <v>36960.52</v>
      </c>
      <c r="I22" s="9">
        <f>'GASTOS_ADM_VTAS_FINANZAS'!I21</f>
        <v>43613.41</v>
      </c>
      <c r="J22" s="9">
        <f>'GASTOS_ADM_VTAS_FINANZAS'!J21</f>
        <v>0.0</v>
      </c>
      <c r="K22" s="9">
        <f>'GASTOS_ADM_VTAS_FINANZAS'!K21</f>
        <v>0.0</v>
      </c>
      <c r="L22" s="9">
        <f>0</f>
        <v>0.0</v>
      </c>
    </row>
    <row r="23" spans="1:12" ht="18" customHeight="1">
      <c r="A23" s="5" t="s">
        <v>582</v>
      </c>
      <c r="B23" s="9">
        <f>0</f>
        <v>0.0</v>
      </c>
      <c r="C23" s="9">
        <f>'ESTADO DE RESULTADOS'!B17</f>
        <v>0.0</v>
      </c>
      <c r="D23" s="9">
        <f>'ESTADO DE RESULTADOS'!C17</f>
        <v>0.0</v>
      </c>
      <c r="E23" s="9">
        <f>'ESTADO DE RESULTADOS'!D17</f>
        <v>14946.62</v>
      </c>
      <c r="F23" s="9">
        <f>'ESTADO DE RESULTADOS'!E17</f>
        <v>40702.13</v>
      </c>
      <c r="G23" s="9">
        <f>'ESTADO DE RESULTADOS'!F17</f>
        <v>50057.93</v>
      </c>
      <c r="H23" s="9">
        <f>'ESTADO DE RESULTADOS'!G17</f>
        <v>140448.32</v>
      </c>
      <c r="I23" s="9">
        <f>'ESTADO DE RESULTADOS'!H17</f>
        <v>167857.68</v>
      </c>
      <c r="J23" s="9">
        <f>'ESTADO DE RESULTADOS'!I17</f>
        <v>172463.48</v>
      </c>
      <c r="K23" s="9">
        <f>'ESTADO DE RESULTADOS'!J17</f>
        <v>265658.27</v>
      </c>
      <c r="L23" s="9">
        <f>'ESTADO DE RESULTADOS'!K17</f>
        <v>300453.24</v>
      </c>
    </row>
    <row r="24" spans="1:12" ht="18" customHeight="1">
      <c r="A24" s="8" t="s">
        <v>583</v>
      </c>
      <c r="B24" s="8">
        <f>0</f>
        <v>0.0</v>
      </c>
      <c r="C24" s="8">
        <f>SUM(C21:C23)</f>
        <v>26959.8</v>
      </c>
      <c r="D24" s="8">
        <f>SUM(D21:D23)</f>
        <v>50509.52</v>
      </c>
      <c r="E24" s="8">
        <f>SUM(E21:E23)</f>
        <v>74324.21</v>
      </c>
      <c r="F24" s="8">
        <f>SUM(F21:F23)</f>
        <v>109365.85</v>
      </c>
      <c r="G24" s="8">
        <f>SUM(G21:G23)</f>
        <v>121806.17</v>
      </c>
      <c r="H24" s="8">
        <f>SUM(H21:H23)</f>
        <v>241797.97</v>
      </c>
      <c r="I24" s="8">
        <f>SUM(I21:I23)</f>
        <v>276842.9</v>
      </c>
      <c r="J24" s="8">
        <f>SUM(J21:J23)</f>
        <v>237801.34</v>
      </c>
      <c r="K24" s="8">
        <f>SUM(K21:K23)</f>
        <v>355882.28</v>
      </c>
      <c r="L24" s="8">
        <f>SUM(L21:L23)</f>
        <v>392780.61</v>
      </c>
    </row>
    <row r="25" spans="1:12" ht="18" customHeight="1">
      <c r="A25" s="20" t="s">
        <v>584</v>
      </c>
    </row>
    <row r="26" spans="1:12" ht="18" customHeight="1">
      <c r="A26" s="5" t="s">
        <v>585</v>
      </c>
      <c r="B26" s="9">
        <f>'BALANCE DE APERTURA'!E7</f>
        <v>180000.0</v>
      </c>
      <c r="C26" s="9">
        <f>MAX(0,'GASTOS_ADM_VTAS_FINANZAS'!B23-'GASTOS_ADM_VTAS_FINANZAS'!C21)</f>
        <v>180000.0</v>
      </c>
      <c r="D26" s="9">
        <f>MAX(0,'GASTOS_ADM_VTAS_FINANZAS'!C23-'GASTOS_ADM_VTAS_FINANZAS'!D21)</f>
        <v>160936.18</v>
      </c>
      <c r="E26" s="9">
        <f>MAX(0,'GASTOS_ADM_VTAS_FINANZAS'!D23-'GASTOS_ADM_VTAS_FINANZAS'!E21)</f>
        <v>138440.87</v>
      </c>
      <c r="F26" s="9">
        <f>MAX(0,'GASTOS_ADM_VTAS_FINANZAS'!E23-'GASTOS_ADM_VTAS_FINANZAS'!F21)</f>
        <v>111896.4</v>
      </c>
      <c r="G26" s="9">
        <f>MAX(0,'GASTOS_ADM_VTAS_FINANZAS'!F23-'GASTOS_ADM_VTAS_FINANZAS'!G21)</f>
        <v>80573.93</v>
      </c>
      <c r="H26" s="9">
        <f>MAX(0,'GASTOS_ADM_VTAS_FINANZAS'!G23-'GASTOS_ADM_VTAS_FINANZAS'!H21)</f>
        <v>43613.41</v>
      </c>
      <c r="I26" s="9">
        <f>MAX(0,'GASTOS_ADM_VTAS_FINANZAS'!H23-'GASTOS_ADM_VTAS_FINANZAS'!I21)</f>
        <v>0.0</v>
      </c>
      <c r="J26" s="9">
        <f>MAX(0,'GASTOS_ADM_VTAS_FINANZAS'!I23-'GASTOS_ADM_VTAS_FINANZAS'!J21)</f>
        <v>0.0</v>
      </c>
      <c r="K26" s="9">
        <f>MAX(0,'GASTOS_ADM_VTAS_FINANZAS'!J23-'GASTOS_ADM_VTAS_FINANZAS'!K21)</f>
        <v>0.0</v>
      </c>
      <c r="L26" s="9">
        <f>MAX(0,'GASTOS_ADM_VTAS_FINANZAS'!K23-0)</f>
        <v>0.0</v>
      </c>
    </row>
    <row r="27" spans="1:12" ht="18" customHeight="1">
      <c r="A27" s="8" t="s">
        <v>586</v>
      </c>
      <c r="B27" s="8">
        <f>B26</f>
        <v>180000.0</v>
      </c>
      <c r="C27" s="8">
        <f>C26</f>
        <v>180000.0</v>
      </c>
      <c r="D27" s="8">
        <f>D26</f>
        <v>160936.18</v>
      </c>
      <c r="E27" s="8">
        <f>E26</f>
        <v>138440.87</v>
      </c>
      <c r="F27" s="8">
        <f>F26</f>
        <v>111896.4</v>
      </c>
      <c r="G27" s="8">
        <f>G26</f>
        <v>80573.93</v>
      </c>
      <c r="H27" s="8">
        <f>H26</f>
        <v>43613.41</v>
      </c>
      <c r="I27" s="8">
        <f>I26</f>
        <v>0.0</v>
      </c>
      <c r="J27" s="8">
        <f>J26</f>
        <v>0.0</v>
      </c>
      <c r="K27" s="8">
        <f>K26</f>
        <v>0.0</v>
      </c>
      <c r="L27" s="8">
        <f>L26</f>
        <v>0.0</v>
      </c>
    </row>
    <row r="28" spans="1:12" ht="18" customHeight="1">
      <c r="A28" s="8" t="s">
        <v>587</v>
      </c>
      <c r="B28" s="8">
        <f>'BALANCE DE APERTURA'!E9</f>
        <v>180000.0</v>
      </c>
      <c r="C28" s="8">
        <f>SUM(C24,C27)</f>
        <v>206959.8</v>
      </c>
      <c r="D28" s="8">
        <f>SUM(D24,D27)</f>
        <v>211445.69</v>
      </c>
      <c r="E28" s="8">
        <f>SUM(E24,E27)</f>
        <v>212765.07</v>
      </c>
      <c r="F28" s="8">
        <f>SUM(F24,F27)</f>
        <v>221262.24</v>
      </c>
      <c r="G28" s="8">
        <f>SUM(G24,G27)</f>
        <v>202380.1</v>
      </c>
      <c r="H28" s="8">
        <f>SUM(H24,H27)</f>
        <v>285411.38</v>
      </c>
      <c r="I28" s="8">
        <f>SUM(I24,I27)</f>
        <v>276842.9</v>
      </c>
      <c r="J28" s="8">
        <f>SUM(J24,J27)</f>
        <v>237801.34</v>
      </c>
      <c r="K28" s="8">
        <f>SUM(K24,K27)</f>
        <v>355882.28</v>
      </c>
      <c r="L28" s="8">
        <f>SUM(L24,L27)</f>
        <v>392780.61</v>
      </c>
    </row>
    <row r="29" spans="1:12" ht="18" customHeight="1">
      <c r="A29" s="3" t="s">
        <v>588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ht="18" customHeight="1">
      <c r="A30" s="5" t="s">
        <v>589</v>
      </c>
      <c r="B30" s="9">
        <f>'BALANCE DE APERTURA'!E13</f>
        <v>120000.0</v>
      </c>
      <c r="C30" s="9">
        <f>'PLAN DE INVERSION'!D27</f>
        <v>120000.0</v>
      </c>
      <c r="D30" s="9">
        <f>'PLAN DE INVERSION'!D27</f>
        <v>120000.0</v>
      </c>
      <c r="E30" s="9">
        <f>'PLAN DE INVERSION'!D27</f>
        <v>120000.0</v>
      </c>
      <c r="F30" s="9">
        <f>'PLAN DE INVERSION'!D27</f>
        <v>120000.0</v>
      </c>
      <c r="G30" s="9">
        <f>'PLAN DE INVERSION'!D27</f>
        <v>120000.0</v>
      </c>
      <c r="H30" s="9">
        <f>'PLAN DE INVERSION'!D27</f>
        <v>120000.0</v>
      </c>
      <c r="I30" s="9">
        <f>'PLAN DE INVERSION'!D27</f>
        <v>120000.0</v>
      </c>
      <c r="J30" s="9">
        <f>'PLAN DE INVERSION'!D27</f>
        <v>120000.0</v>
      </c>
      <c r="K30" s="9">
        <f>'PLAN DE INVERSION'!D27</f>
        <v>120000.0</v>
      </c>
      <c r="L30" s="9">
        <f>'PLAN DE INVERSION'!D27</f>
        <v>120000.0</v>
      </c>
    </row>
    <row r="31" spans="1:12" ht="18" customHeight="1">
      <c r="A31" s="5" t="s">
        <v>590</v>
      </c>
      <c r="B31" s="9">
        <f>0</f>
        <v>0.0</v>
      </c>
      <c r="C31" s="9">
        <f>'ESTADO DE RESULTADOS'!B20</f>
        <v>-62218.03</v>
      </c>
      <c r="D31" s="9">
        <f>'ESTADO DE RESULTADOS'!C20</f>
        <v>-29492.04</v>
      </c>
      <c r="E31" s="9">
        <f>'ESTADO DE RESULTADOS'!D20</f>
        <v>32147.9</v>
      </c>
      <c r="F31" s="9">
        <f>'ESTADO DE RESULTADOS'!E20</f>
        <v>87544.07</v>
      </c>
      <c r="G31" s="9">
        <f>'ESTADO DE RESULTADOS'!F20</f>
        <v>108929.08</v>
      </c>
      <c r="H31" s="9">
        <f>'ESTADO DE RESULTADOS'!G20</f>
        <v>335647.68</v>
      </c>
      <c r="I31" s="9">
        <f>'ESTADO DE RESULTADOS'!H20</f>
        <v>401151.4</v>
      </c>
      <c r="J31" s="9">
        <f>'ESTADO DE RESULTADOS'!I20</f>
        <v>412158.48</v>
      </c>
      <c r="K31" s="9">
        <f>'ESTADO DE RESULTADOS'!J20</f>
        <v>634878.23</v>
      </c>
      <c r="L31" s="9">
        <f>'ESTADO DE RESULTADOS'!K20</f>
        <v>718032.31</v>
      </c>
    </row>
    <row r="32" spans="1:12" ht="18" customHeight="1">
      <c r="A32" s="5" t="s">
        <v>591</v>
      </c>
      <c r="B32" s="9">
        <f>0</f>
        <v>0.0</v>
      </c>
      <c r="C32" s="9">
        <f>SUM('ESTADO DE RESULTADOS'!$B$19:B19)</f>
        <v>0.0</v>
      </c>
      <c r="D32" s="9">
        <f>SUM('ESTADO DE RESULTADOS'!$B$19:C19)</f>
        <v>0.0</v>
      </c>
      <c r="E32" s="9">
        <f>SUM('ESTADO DE RESULTADOS'!$B$19:D19)</f>
        <v>3571.99</v>
      </c>
      <c r="F32" s="9">
        <f>SUM('ESTADO DE RESULTADOS'!$B$19:E19)</f>
        <v>13299.11</v>
      </c>
      <c r="G32" s="9">
        <f>SUM('ESTADO DE RESULTADOS'!$B$19:F19)</f>
        <v>24000.0</v>
      </c>
      <c r="H32" s="9">
        <f>SUM('ESTADO DE RESULTADOS'!$B$19:G19)</f>
        <v>24000.0</v>
      </c>
      <c r="I32" s="9">
        <f>SUM('ESTADO DE RESULTADOS'!$B$19:H19)</f>
        <v>24000.0</v>
      </c>
      <c r="J32" s="9">
        <f>SUM('ESTADO DE RESULTADOS'!$B$19:I19)</f>
        <v>24000.0</v>
      </c>
      <c r="K32" s="9">
        <f>SUM('ESTADO DE RESULTADOS'!$B$19:J19)</f>
        <v>24000.0</v>
      </c>
      <c r="L32" s="9">
        <f>SUM('ESTADO DE RESULTADOS'!$B$19:K19)</f>
        <v>24000.0</v>
      </c>
    </row>
    <row r="33" spans="1:12" ht="18" customHeight="1">
      <c r="A33" s="5" t="s">
        <v>592</v>
      </c>
      <c r="B33" s="9">
        <f>0</f>
        <v>0.0</v>
      </c>
      <c r="C33" s="9">
        <f>0</f>
        <v>0.0</v>
      </c>
      <c r="D33" s="9">
        <f>SUM('ESTADO DE RESULTADOS'!$B$20:B20)</f>
        <v>-62218.03</v>
      </c>
      <c r="E33" s="9">
        <f>SUM('ESTADO DE RESULTADOS'!$B$20:C20)</f>
        <v>-91710.07</v>
      </c>
      <c r="F33" s="9">
        <f>SUM('ESTADO DE RESULTADOS'!$B$20:D20)</f>
        <v>-59562.17</v>
      </c>
      <c r="G33" s="9">
        <f>SUM('ESTADO DE RESULTADOS'!$B$20:E20)</f>
        <v>27981.9</v>
      </c>
      <c r="H33" s="9">
        <f>SUM('ESTADO DE RESULTADOS'!$B$20:F20)</f>
        <v>136910.98</v>
      </c>
      <c r="I33" s="9">
        <f>SUM('ESTADO DE RESULTADOS'!$B$20:G20)</f>
        <v>472558.66</v>
      </c>
      <c r="J33" s="9">
        <f>SUM('ESTADO DE RESULTADOS'!$B$20:H20)</f>
        <v>873710.07</v>
      </c>
      <c r="K33" s="9">
        <f>SUM('ESTADO DE RESULTADOS'!$B$20:I20)</f>
        <v>1285868.55</v>
      </c>
      <c r="L33" s="9">
        <f>SUM('ESTADO DE RESULTADOS'!$B$20:J20)</f>
        <v>1920746.78</v>
      </c>
    </row>
    <row r="34" spans="1:12" ht="18" customHeight="1">
      <c r="A34" s="8" t="s">
        <v>593</v>
      </c>
      <c r="B34" s="8">
        <f>'BALANCE DE APERTURA'!E24</f>
        <v>120000.0</v>
      </c>
      <c r="C34" s="8">
        <f>SUM(C30:C33)</f>
        <v>57781.97</v>
      </c>
      <c r="D34" s="8">
        <f>SUM(D30:D33)</f>
        <v>28289.93</v>
      </c>
      <c r="E34" s="8">
        <f>SUM(E30:E33)</f>
        <v>64009.82</v>
      </c>
      <c r="F34" s="8">
        <f>SUM(F30:F33)</f>
        <v>161281.01</v>
      </c>
      <c r="G34" s="8">
        <f>SUM(G30:G33)</f>
        <v>280910.98</v>
      </c>
      <c r="H34" s="8">
        <f>SUM(H30:H33)</f>
        <v>616558.66</v>
      </c>
      <c r="I34" s="8">
        <f>SUM(I30:I33)</f>
        <v>1017710.07</v>
      </c>
      <c r="J34" s="8">
        <f>SUM(J30:J33)</f>
        <v>1429868.55</v>
      </c>
      <c r="K34" s="8">
        <f>SUM(K30:K33)</f>
        <v>2064746.78</v>
      </c>
      <c r="L34" s="8">
        <f>SUM(L30:L33)</f>
        <v>2782779.09</v>
      </c>
    </row>
    <row r="36" spans="1:12" ht="18" customHeight="1">
      <c r="A36" s="8" t="s">
        <v>513</v>
      </c>
      <c r="B36" s="8">
        <f>'BALANCE DE APERTURA'!E26</f>
        <v>300000.0</v>
      </c>
      <c r="C36" s="8">
        <f>SUM(C28,C34)</f>
        <v>264741.77</v>
      </c>
      <c r="D36" s="8">
        <f>SUM(D28,D34)</f>
        <v>239735.63</v>
      </c>
      <c r="E36" s="8">
        <f>SUM(E28,E34)</f>
        <v>276774.89</v>
      </c>
      <c r="F36" s="8">
        <f>SUM(F28,F34)</f>
        <v>382543.25</v>
      </c>
      <c r="G36" s="8">
        <f>SUM(G28,G34)</f>
        <v>483291.08</v>
      </c>
      <c r="H36" s="8">
        <f>SUM(H28,H34)</f>
        <v>901970.04</v>
      </c>
      <c r="I36" s="8">
        <f>SUM(I28,I34)</f>
        <v>1294552.97</v>
      </c>
      <c r="J36" s="8">
        <f>SUM(J28,J34)</f>
        <v>1667669.89</v>
      </c>
      <c r="K36" s="8">
        <f>SUM(K28,K34)</f>
        <v>2420629.06</v>
      </c>
      <c r="L36" s="8">
        <f>SUM(L28,L34)</f>
        <v>3175559.7</v>
      </c>
    </row>
    <row r="37" spans="1:12" ht="18" customHeight="1">
      <c r="A37" s="8" t="s">
        <v>514</v>
      </c>
      <c r="B37" s="8">
        <f>B18-B36</f>
        <v>0.0</v>
      </c>
      <c r="C37" s="8">
        <f>C18-C36</f>
        <v>0.0</v>
      </c>
      <c r="D37" s="8">
        <f>D18-D36</f>
        <v>0.0</v>
      </c>
      <c r="E37" s="8">
        <f>E18-E36</f>
        <v>0.0</v>
      </c>
      <c r="F37" s="8">
        <f>F18-F36</f>
        <v>0.0</v>
      </c>
      <c r="G37" s="8">
        <f>G18-G36</f>
        <v>0.0</v>
      </c>
      <c r="H37" s="8">
        <f>H18-H36</f>
        <v>0.0</v>
      </c>
      <c r="I37" s="8">
        <f>I18-I36</f>
        <v>0.0</v>
      </c>
      <c r="J37" s="8">
        <f>J18-J36</f>
        <v>0.0</v>
      </c>
      <c r="K37" s="8">
        <f>K18-K36</f>
        <v>0.0</v>
      </c>
      <c r="L37" s="8">
        <f>L18-L36</f>
        <v>0.0</v>
      </c>
    </row>
    <row r="40" spans="1:12" ht="18" customHeight="1">
      <c r="A40" s="13" t="s">
        <v>515</v>
      </c>
      <c r="I40" s="13" t="s">
        <v>516</v>
      </c>
    </row>
  </sheetData>
  <mergeCells count="5">
    <mergeCell ref="A1:L1"/>
    <mergeCell ref="A2:L2"/>
    <mergeCell ref="A4:L4"/>
    <mergeCell ref="A19:L19"/>
    <mergeCell ref="A29:L29"/>
  </mergeCells>
  <pageMargins left="0.25" right="0.25" top="0.35" bottom="0.35" header="0.3" footer="0.3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4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34.7109375" customWidth="1"/>
    <col min="2" max="12" width="12.7109375" customWidth="1"/>
  </cols>
  <sheetData>
    <row r="1" spans="1:12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594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20" customHeight="1">
      <c r="A4" s="3" t="s">
        <v>595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spans="1:12" ht="18" customHeight="1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147</v>
      </c>
    </row>
    <row r="6" spans="1:12" ht="18" customHeight="1">
      <c r="A6" s="5" t="s">
        <v>596</v>
      </c>
      <c r="B6" s="10">
        <f>IFERROR('BALANCE GENERAL PROYECTADO'!C10/'BALANCE GENERAL PROYECTADO'!C24,0)</f>
        <v>2.414697809330929</v>
      </c>
      <c r="C6" s="10">
        <f>IFERROR('BALANCE GENERAL PROYECTADO'!D10/'BALANCE GENERAL PROYECTADO'!D24,0)</f>
        <v>1.7907838113252723</v>
      </c>
      <c r="D6" s="10">
        <f>IFERROR('BALANCE GENERAL PROYECTADO'!E10/'BALANCE GENERAL PROYECTADO'!E24,0)</f>
        <v>2.3928798309264314</v>
      </c>
      <c r="E6" s="10">
        <f>IFERROR('BALANCE GENERAL PROYECTADO'!F10/'BALANCE GENERAL PROYECTADO'!F24,0)</f>
        <v>3.053743614324744</v>
      </c>
      <c r="F6" s="10">
        <f>IFERROR('BALANCE GENERAL PROYECTADO'!G10/'BALANCE GENERAL PROYECTADO'!G24,0)</f>
        <v>3.884869521466787</v>
      </c>
      <c r="G6" s="10">
        <f>IFERROR('BALANCE GENERAL PROYECTADO'!H10/'BALANCE GENERAL PROYECTADO'!H24,0)</f>
        <v>3.695903835477299</v>
      </c>
      <c r="H6" s="10">
        <f>IFERROR('BALANCE GENERAL PROYECTADO'!I10/'BALANCE GENERAL PROYECTADO'!I24,0)</f>
        <v>4.652555548983723</v>
      </c>
      <c r="I6" s="10">
        <f>IFERROR('BALANCE GENERAL PROYECTADO'!J10/'BALANCE GENERAL PROYECTADO'!J24,0)</f>
        <v>6.992920635013501</v>
      </c>
      <c r="J6" s="10">
        <f>IFERROR('BALANCE GENERAL PROYECTADO'!K10/'BALANCE GENERAL PROYECTADO'!K24,0)</f>
        <v>6.793445959240354</v>
      </c>
      <c r="K6" s="10">
        <f>IFERROR('BALANCE GENERAL PROYECTADO'!L10/'BALANCE GENERAL PROYECTADO'!L24,0)</f>
        <v>8.08181359600261</v>
      </c>
      <c r="L6" s="12" t="s">
        <v>597</v>
      </c>
    </row>
    <row r="7" spans="1:12" ht="18" customHeight="1">
      <c r="A7" s="5" t="s">
        <v>598</v>
      </c>
      <c r="B7" s="9">
        <f>'BALANCE GENERAL PROYECTADO'!C10-'BALANCE GENERAL PROYECTADO'!C24</f>
        <v>38139.97</v>
      </c>
      <c r="C7" s="9">
        <f>'BALANCE GENERAL PROYECTADO'!D10-'BALANCE GENERAL PROYECTADO'!D24</f>
        <v>39942.11</v>
      </c>
      <c r="D7" s="9">
        <f>'BALANCE GENERAL PROYECTADO'!E10-'BALANCE GENERAL PROYECTADO'!E24</f>
        <v>103524.69</v>
      </c>
      <c r="E7" s="9">
        <f>'BALANCE GENERAL PROYECTADO'!F10-'BALANCE GENERAL PROYECTADO'!F24</f>
        <v>224609.41</v>
      </c>
      <c r="F7" s="9">
        <f>'BALANCE GENERAL PROYECTADO'!G10-'BALANCE GENERAL PROYECTADO'!G24</f>
        <v>351394.91</v>
      </c>
      <c r="G7" s="9">
        <f>'BALANCE GENERAL PROYECTADO'!H10-'BALANCE GENERAL PROYECTADO'!H24</f>
        <v>651864.07</v>
      </c>
      <c r="H7" s="9">
        <f>'BALANCE GENERAL PROYECTADO'!I10-'BALANCE GENERAL PROYECTADO'!I24</f>
        <v>1011184.07</v>
      </c>
      <c r="I7" s="9">
        <f>'BALANCE GENERAL PROYECTADO'!J10-'BALANCE GENERAL PROYECTADO'!J24</f>
        <v>1425124.55</v>
      </c>
      <c r="J7" s="9">
        <f>'BALANCE GENERAL PROYECTADO'!K10-'BALANCE GENERAL PROYECTADO'!K24</f>
        <v>2061784.78</v>
      </c>
      <c r="K7" s="9">
        <f>'BALANCE GENERAL PROYECTADO'!L10-'BALANCE GENERAL PROYECTADO'!L24</f>
        <v>2781599.09</v>
      </c>
      <c r="L7" s="12" t="s">
        <v>599</v>
      </c>
    </row>
    <row r="8" spans="1:12" ht="18" customHeight="1">
      <c r="A8" s="5" t="s">
        <v>600</v>
      </c>
      <c r="B8" s="10">
        <f>IFERROR('BALANCE GENERAL PROYECTADO'!C10/'BALANCE GENERAL PROYECTADO'!C24,0)</f>
        <v>2.414697809330929</v>
      </c>
      <c r="C8" s="10">
        <f>IFERROR('BALANCE GENERAL PROYECTADO'!D10/'BALANCE GENERAL PROYECTADO'!D24,0)</f>
        <v>1.7907838113252723</v>
      </c>
      <c r="D8" s="10">
        <f>IFERROR('BALANCE GENERAL PROYECTADO'!E10/'BALANCE GENERAL PROYECTADO'!E24,0)</f>
        <v>2.3928798309264314</v>
      </c>
      <c r="E8" s="10">
        <f>IFERROR('BALANCE GENERAL PROYECTADO'!F10/'BALANCE GENERAL PROYECTADO'!F24,0)</f>
        <v>3.053743614324744</v>
      </c>
      <c r="F8" s="10">
        <f>IFERROR('BALANCE GENERAL PROYECTADO'!G10/'BALANCE GENERAL PROYECTADO'!G24,0)</f>
        <v>3.884869521466787</v>
      </c>
      <c r="G8" s="10">
        <f>IFERROR('BALANCE GENERAL PROYECTADO'!H10/'BALANCE GENERAL PROYECTADO'!H24,0)</f>
        <v>3.695903835477299</v>
      </c>
      <c r="H8" s="10">
        <f>IFERROR('BALANCE GENERAL PROYECTADO'!I10/'BALANCE GENERAL PROYECTADO'!I24,0)</f>
        <v>4.652555548983723</v>
      </c>
      <c r="I8" s="10">
        <f>IFERROR('BALANCE GENERAL PROYECTADO'!J10/'BALANCE GENERAL PROYECTADO'!J24,0)</f>
        <v>6.992920635013501</v>
      </c>
      <c r="J8" s="10">
        <f>IFERROR('BALANCE GENERAL PROYECTADO'!K10/'BALANCE GENERAL PROYECTADO'!K24,0)</f>
        <v>6.793445959240354</v>
      </c>
      <c r="K8" s="10">
        <f>IFERROR('BALANCE GENERAL PROYECTADO'!L10/'BALANCE GENERAL PROYECTADO'!L24,0)</f>
        <v>8.08181359600261</v>
      </c>
      <c r="L8" s="12" t="s">
        <v>597</v>
      </c>
    </row>
    <row r="10" spans="1:12" ht="20" customHeight="1">
      <c r="A10" s="3" t="s">
        <v>601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2" ht="18" customHeight="1">
      <c r="A11" s="4" t="s">
        <v>3</v>
      </c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  <c r="I11" s="4" t="s">
        <v>11</v>
      </c>
      <c r="J11" s="4" t="s">
        <v>12</v>
      </c>
      <c r="K11" s="4" t="s">
        <v>13</v>
      </c>
      <c r="L11" s="4" t="s">
        <v>147</v>
      </c>
    </row>
    <row r="12" spans="1:12" ht="18" customHeight="1">
      <c r="A12" s="5" t="s">
        <v>602</v>
      </c>
      <c r="B12" s="10">
        <f>0</f>
        <v>0.0</v>
      </c>
      <c r="C12" s="10">
        <f>0</f>
        <v>0.0</v>
      </c>
      <c r="D12" s="10">
        <f>0</f>
        <v>0.0</v>
      </c>
      <c r="E12" s="10">
        <f>0</f>
        <v>0.0</v>
      </c>
      <c r="F12" s="10">
        <f>0</f>
        <v>0.0</v>
      </c>
      <c r="G12" s="10">
        <f>0</f>
        <v>0.0</v>
      </c>
      <c r="H12" s="10">
        <f>0</f>
        <v>0.0</v>
      </c>
      <c r="I12" s="10">
        <f>0</f>
        <v>0.0</v>
      </c>
      <c r="J12" s="10">
        <f>0</f>
        <v>0.0</v>
      </c>
      <c r="K12" s="10">
        <f>0</f>
        <v>0.0</v>
      </c>
      <c r="L12" s="12" t="s">
        <v>603</v>
      </c>
    </row>
    <row r="13" spans="1:12" ht="18" customHeight="1">
      <c r="A13" s="5" t="s">
        <v>604</v>
      </c>
      <c r="B13" s="10">
        <f>0</f>
        <v>0.0</v>
      </c>
      <c r="C13" s="10">
        <f>0</f>
        <v>0.0</v>
      </c>
      <c r="D13" s="10">
        <f>0</f>
        <v>0.0</v>
      </c>
      <c r="E13" s="10">
        <f>0</f>
        <v>0.0</v>
      </c>
      <c r="F13" s="10">
        <f>0</f>
        <v>0.0</v>
      </c>
      <c r="G13" s="10">
        <f>0</f>
        <v>0.0</v>
      </c>
      <c r="H13" s="10">
        <f>0</f>
        <v>0.0</v>
      </c>
      <c r="I13" s="10">
        <f>0</f>
        <v>0.0</v>
      </c>
      <c r="J13" s="10">
        <f>0</f>
        <v>0.0</v>
      </c>
      <c r="K13" s="10">
        <f>0</f>
        <v>0.0</v>
      </c>
      <c r="L13" s="12" t="s">
        <v>603</v>
      </c>
    </row>
    <row r="14" spans="1:12" ht="18" customHeight="1">
      <c r="A14" s="5" t="s">
        <v>605</v>
      </c>
      <c r="B14" s="10">
        <f>IFERROR('ESTADO DE RESULTADOS'!B6/'BALANCE GENERAL PROYECTADO'!C7,0)</f>
        <v>8.333333333333336</v>
      </c>
      <c r="C14" s="10">
        <f>IFERROR('ESTADO DE RESULTADOS'!C6/'BALANCE GENERAL PROYECTADO'!D7,0)</f>
        <v>8.333333333333336</v>
      </c>
      <c r="D14" s="10">
        <f>IFERROR('ESTADO DE RESULTADOS'!D6/'BALANCE GENERAL PROYECTADO'!E7,0)</f>
        <v>8.333333333333336</v>
      </c>
      <c r="E14" s="10">
        <f>IFERROR('ESTADO DE RESULTADOS'!E6/'BALANCE GENERAL PROYECTADO'!F7,0)</f>
        <v>8.333333333333336</v>
      </c>
      <c r="F14" s="10">
        <f>IFERROR('ESTADO DE RESULTADOS'!F6/'BALANCE GENERAL PROYECTADO'!G7,0)</f>
        <v>8.333333333333336</v>
      </c>
      <c r="G14" s="10">
        <f>IFERROR('ESTADO DE RESULTADOS'!G6/'BALANCE GENERAL PROYECTADO'!H7,0)</f>
        <v>8.333333333333336</v>
      </c>
      <c r="H14" s="10">
        <f>IFERROR('ESTADO DE RESULTADOS'!H6/'BALANCE GENERAL PROYECTADO'!I7,0)</f>
        <v>8.333333333333336</v>
      </c>
      <c r="I14" s="10">
        <f>IFERROR('ESTADO DE RESULTADOS'!I6/'BALANCE GENERAL PROYECTADO'!J7,0)</f>
        <v>8.333333333333336</v>
      </c>
      <c r="J14" s="10">
        <f>IFERROR('ESTADO DE RESULTADOS'!J6/'BALANCE GENERAL PROYECTADO'!K7,0)</f>
        <v>8.333333333333336</v>
      </c>
      <c r="K14" s="10">
        <f>IFERROR('ESTADO DE RESULTADOS'!K6/'BALANCE GENERAL PROYECTADO'!L7,0)</f>
        <v>8.333333333333334</v>
      </c>
      <c r="L14" s="12" t="s">
        <v>597</v>
      </c>
    </row>
    <row r="15" spans="1:12" ht="18" customHeight="1">
      <c r="A15" s="5" t="s">
        <v>606</v>
      </c>
      <c r="B15" s="10">
        <f>IFERROR(360/('ESTADO DE RESULTADOS'!B6/'BALANCE GENERAL PROYECTADO'!C7),0)</f>
        <v>43.19999999999999</v>
      </c>
      <c r="C15" s="10">
        <f>IFERROR(360/('ESTADO DE RESULTADOS'!C6/'BALANCE GENERAL PROYECTADO'!D7),0)</f>
        <v>43.19999999999999</v>
      </c>
      <c r="D15" s="10">
        <f>IFERROR(360/('ESTADO DE RESULTADOS'!D6/'BALANCE GENERAL PROYECTADO'!E7),0)</f>
        <v>43.19999999999999</v>
      </c>
      <c r="E15" s="10">
        <f>IFERROR(360/('ESTADO DE RESULTADOS'!E6/'BALANCE GENERAL PROYECTADO'!F7),0)</f>
        <v>43.19999999999999</v>
      </c>
      <c r="F15" s="10">
        <f>IFERROR(360/('ESTADO DE RESULTADOS'!F6/'BALANCE GENERAL PROYECTADO'!G7),0)</f>
        <v>43.19999999999999</v>
      </c>
      <c r="G15" s="10">
        <f>IFERROR(360/('ESTADO DE RESULTADOS'!G6/'BALANCE GENERAL PROYECTADO'!H7),0)</f>
        <v>43.19999999999999</v>
      </c>
      <c r="H15" s="10">
        <f>IFERROR(360/('ESTADO DE RESULTADOS'!H6/'BALANCE GENERAL PROYECTADO'!I7),0)</f>
        <v>43.19999999999999</v>
      </c>
      <c r="I15" s="10">
        <f>IFERROR(360/('ESTADO DE RESULTADOS'!I6/'BALANCE GENERAL PROYECTADO'!J7),0)</f>
        <v>43.19999999999999</v>
      </c>
      <c r="J15" s="10">
        <f>IFERROR(360/('ESTADO DE RESULTADOS'!J6/'BALANCE GENERAL PROYECTADO'!K7),0)</f>
        <v>43.19999999999999</v>
      </c>
      <c r="K15" s="10">
        <f>IFERROR(360/('ESTADO DE RESULTADOS'!K6/'BALANCE GENERAL PROYECTADO'!L7),0)</f>
        <v>43.199999999999996</v>
      </c>
      <c r="L15" s="12" t="s">
        <v>607</v>
      </c>
    </row>
    <row r="16" spans="1:12" ht="18" customHeight="1">
      <c r="A16" s="5" t="s">
        <v>608</v>
      </c>
      <c r="B16" s="10">
        <f>IFERROR('COSTOS'!B48/'BALANCE GENERAL PROYECTADO'!C21,0)</f>
        <v>9.523809523809522</v>
      </c>
      <c r="C16" s="10">
        <f>IFERROR('COSTOS'!C48/'BALANCE GENERAL PROYECTADO'!D21,0)</f>
        <v>9.523809523809522</v>
      </c>
      <c r="D16" s="10">
        <f>IFERROR('COSTOS'!D48/'BALANCE GENERAL PROYECTADO'!E21,0)</f>
        <v>9.523809523809524</v>
      </c>
      <c r="E16" s="10">
        <f>IFERROR('COSTOS'!E48/'BALANCE GENERAL PROYECTADO'!F21,0)</f>
        <v>9.523809523809522</v>
      </c>
      <c r="F16" s="10">
        <f>IFERROR('COSTOS'!F48/'BALANCE GENERAL PROYECTADO'!G21,0)</f>
        <v>9.523809523809522</v>
      </c>
      <c r="G16" s="10">
        <f>IFERROR('COSTOS'!G48/'BALANCE GENERAL PROYECTADO'!H21,0)</f>
        <v>9.523809523809524</v>
      </c>
      <c r="H16" s="10">
        <f>IFERROR('COSTOS'!H48/'BALANCE GENERAL PROYECTADO'!I21,0)</f>
        <v>9.523809523809522</v>
      </c>
      <c r="I16" s="10">
        <f>IFERROR('COSTOS'!I48/'BALANCE GENERAL PROYECTADO'!J21,0)</f>
        <v>9.523809523809522</v>
      </c>
      <c r="J16" s="10">
        <f>IFERROR('COSTOS'!J48/'BALANCE GENERAL PROYECTADO'!K21,0)</f>
        <v>9.523809523809522</v>
      </c>
      <c r="K16" s="10">
        <f>IFERROR('COSTOS'!K48/'BALANCE GENERAL PROYECTADO'!L21,0)</f>
        <v>9.523809523809524</v>
      </c>
      <c r="L16" s="12" t="s">
        <v>597</v>
      </c>
    </row>
    <row r="17" spans="1:12" ht="18" customHeight="1">
      <c r="A17" s="5" t="s">
        <v>609</v>
      </c>
      <c r="B17" s="10">
        <f>IFERROR(360/('COSTOS'!B48/'BALANCE GENERAL PROYECTADO'!C21),0)</f>
        <v>37.800000000000004</v>
      </c>
      <c r="C17" s="10">
        <f>IFERROR(360/('COSTOS'!C48/'BALANCE GENERAL PROYECTADO'!D21),0)</f>
        <v>37.800000000000004</v>
      </c>
      <c r="D17" s="10">
        <f>IFERROR(360/('COSTOS'!D48/'BALANCE GENERAL PROYECTADO'!E21),0)</f>
        <v>37.8</v>
      </c>
      <c r="E17" s="10">
        <f>IFERROR(360/('COSTOS'!E48/'BALANCE GENERAL PROYECTADO'!F21),0)</f>
        <v>37.800000000000004</v>
      </c>
      <c r="F17" s="10">
        <f>IFERROR(360/('COSTOS'!F48/'BALANCE GENERAL PROYECTADO'!G21),0)</f>
        <v>37.800000000000004</v>
      </c>
      <c r="G17" s="10">
        <f>IFERROR(360/('COSTOS'!G48/'BALANCE GENERAL PROYECTADO'!H21),0)</f>
        <v>37.8</v>
      </c>
      <c r="H17" s="10">
        <f>IFERROR(360/('COSTOS'!H48/'BALANCE GENERAL PROYECTADO'!I21),0)</f>
        <v>37.800000000000004</v>
      </c>
      <c r="I17" s="10">
        <f>IFERROR(360/('COSTOS'!I48/'BALANCE GENERAL PROYECTADO'!J21),0)</f>
        <v>37.800000000000004</v>
      </c>
      <c r="J17" s="10">
        <f>IFERROR(360/('COSTOS'!J48/'BALANCE GENERAL PROYECTADO'!K21),0)</f>
        <v>37.800000000000004</v>
      </c>
      <c r="K17" s="10">
        <f>IFERROR(360/('COSTOS'!K48/'BALANCE GENERAL PROYECTADO'!L21),0)</f>
        <v>37.8</v>
      </c>
      <c r="L17" s="12" t="s">
        <v>607</v>
      </c>
    </row>
    <row r="19" spans="1:12" ht="20" customHeight="1">
      <c r="A19" s="3" t="s">
        <v>610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ht="18" customHeight="1">
      <c r="A20" s="4" t="s">
        <v>3</v>
      </c>
      <c r="B20" s="4" t="s">
        <v>4</v>
      </c>
      <c r="C20" s="4" t="s">
        <v>5</v>
      </c>
      <c r="D20" s="4" t="s">
        <v>6</v>
      </c>
      <c r="E20" s="4" t="s">
        <v>7</v>
      </c>
      <c r="F20" s="4" t="s">
        <v>8</v>
      </c>
      <c r="G20" s="4" t="s">
        <v>9</v>
      </c>
      <c r="H20" s="4" t="s">
        <v>10</v>
      </c>
      <c r="I20" s="4" t="s">
        <v>11</v>
      </c>
      <c r="J20" s="4" t="s">
        <v>12</v>
      </c>
      <c r="K20" s="4" t="s">
        <v>13</v>
      </c>
      <c r="L20" s="4" t="s">
        <v>147</v>
      </c>
    </row>
    <row r="21" spans="1:12" ht="18" customHeight="1">
      <c r="A21" s="5" t="s">
        <v>611</v>
      </c>
      <c r="B21" s="11">
        <f>IFERROR('BALANCE GENERAL PROYECTADO'!C28/'BALANCE GENERAL PROYECTADO'!C18,0)</f>
        <v>0.7817421482072888</v>
      </c>
      <c r="C21" s="11">
        <f>IFERROR('BALANCE GENERAL PROYECTADO'!D28/'BALANCE GENERAL PROYECTADO'!D18,0)</f>
        <v>0.8819952948795319</v>
      </c>
      <c r="D21" s="11">
        <f>IFERROR('BALANCE GENERAL PROYECTADO'!E28/'BALANCE GENERAL PROYECTADO'!E18,0)</f>
        <v>0.7687296682845968</v>
      </c>
      <c r="E21" s="11">
        <f>IFERROR('BALANCE GENERAL PROYECTADO'!F28/'BALANCE GENERAL PROYECTADO'!F18,0)</f>
        <v>0.5783979768720594</v>
      </c>
      <c r="F21" s="11">
        <f>IFERROR('BALANCE GENERAL PROYECTADO'!G28/'BALANCE GENERAL PROYECTADO'!G18,0)</f>
        <v>0.4187540489850764</v>
      </c>
      <c r="G21" s="11">
        <f>IFERROR('BALANCE GENERAL PROYECTADO'!H28/'BALANCE GENERAL PROYECTADO'!H18,0)</f>
        <v>0.31643110704879396</v>
      </c>
      <c r="H21" s="11">
        <f>IFERROR('BALANCE GENERAL PROYECTADO'!I28/'BALANCE GENERAL PROYECTADO'!I18,0)</f>
        <v>0.2138521221480912</v>
      </c>
      <c r="I21" s="11">
        <f>IFERROR('BALANCE GENERAL PROYECTADO'!J28/'BALANCE GENERAL PROYECTADO'!J18,0)</f>
        <v>0.1425949705930201</v>
      </c>
      <c r="J21" s="11">
        <f>IFERROR('BALANCE GENERAL PROYECTADO'!K28/'BALANCE GENERAL PROYECTADO'!K18,0)</f>
        <v>0.14702057794055587</v>
      </c>
      <c r="K21" s="11">
        <f>IFERROR('BALANCE GENERAL PROYECTADO'!L28/'BALANCE GENERAL PROYECTADO'!L18,0)</f>
        <v>0.12368862509475652</v>
      </c>
      <c r="L21" s="12" t="s">
        <v>612</v>
      </c>
    </row>
    <row r="22" spans="1:12" ht="18" customHeight="1">
      <c r="A22" s="5" t="s">
        <v>613</v>
      </c>
      <c r="B22" s="10">
        <f>IFERROR('BALANCE GENERAL PROYECTADO'!C28/'BALANCE GENERAL PROYECTADO'!C34,0)</f>
        <v>3.5817366559153294</v>
      </c>
      <c r="C22" s="10">
        <f>IFERROR('BALANCE GENERAL PROYECTADO'!D28/'BALANCE GENERAL PROYECTADO'!D34,0)</f>
        <v>7.474238370233848</v>
      </c>
      <c r="D22" s="10">
        <f>IFERROR('BALANCE GENERAL PROYECTADO'!E28/'BALANCE GENERAL PROYECTADO'!E34,0)</f>
        <v>3.3239441591262184</v>
      </c>
      <c r="E22" s="10">
        <f>IFERROR('BALANCE GENERAL PROYECTADO'!F28/'BALANCE GENERAL PROYECTADO'!F34,0)</f>
        <v>1.371905126500157</v>
      </c>
      <c r="F22" s="10">
        <f>IFERROR('BALANCE GENERAL PROYECTADO'!G28/'BALANCE GENERAL PROYECTADO'!G34,0)</f>
        <v>0.7204420921193222</v>
      </c>
      <c r="G22" s="10">
        <f>IFERROR('BALANCE GENERAL PROYECTADO'!H28/'BALANCE GENERAL PROYECTADO'!H34,0)</f>
        <v>0.46291033765836</v>
      </c>
      <c r="H22" s="10">
        <f>IFERROR('BALANCE GENERAL PROYECTADO'!I28/'BALANCE GENERAL PROYECTADO'!I34,0)</f>
        <v>0.2720253125053603</v>
      </c>
      <c r="I22" s="10">
        <f>IFERROR('BALANCE GENERAL PROYECTADO'!J28/'BALANCE GENERAL PROYECTADO'!J34,0)</f>
        <v>0.16630993019908602</v>
      </c>
      <c r="J22" s="10">
        <f>IFERROR('BALANCE GENERAL PROYECTADO'!K28/'BALANCE GENERAL PROYECTADO'!K34,0)</f>
        <v>0.17236122482953647</v>
      </c>
      <c r="K22" s="10">
        <f>IFERROR('BALANCE GENERAL PROYECTADO'!L28/'BALANCE GENERAL PROYECTADO'!L34,0)</f>
        <v>0.14114688983482745</v>
      </c>
      <c r="L22" s="12" t="s">
        <v>597</v>
      </c>
    </row>
    <row r="24" spans="1:12" ht="20" customHeight="1">
      <c r="A24" s="3" t="s">
        <v>614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ht="18" customHeight="1">
      <c r="A25" s="4" t="s">
        <v>3</v>
      </c>
      <c r="B25" s="4" t="s">
        <v>4</v>
      </c>
      <c r="C25" s="4" t="s">
        <v>5</v>
      </c>
      <c r="D25" s="4" t="s">
        <v>6</v>
      </c>
      <c r="E25" s="4" t="s">
        <v>7</v>
      </c>
      <c r="F25" s="4" t="s">
        <v>8</v>
      </c>
      <c r="G25" s="4" t="s">
        <v>9</v>
      </c>
      <c r="H25" s="4" t="s">
        <v>10</v>
      </c>
      <c r="I25" s="4" t="s">
        <v>11</v>
      </c>
      <c r="J25" s="4" t="s">
        <v>12</v>
      </c>
      <c r="K25" s="4" t="s">
        <v>13</v>
      </c>
      <c r="L25" s="4" t="s">
        <v>147</v>
      </c>
    </row>
    <row r="26" spans="1:12" ht="18" customHeight="1">
      <c r="A26" s="5" t="s">
        <v>615</v>
      </c>
      <c r="B26" s="11">
        <f>IFERROR('ESTADO DE RESULTADOS'!B8/'ESTADO DE RESULTADOS'!B6,0)</f>
        <v>0.27391985901978155</v>
      </c>
      <c r="C26" s="11">
        <f>IFERROR('ESTADO DE RESULTADOS'!C8/'ESTADO DE RESULTADOS'!C6,0)</f>
        <v>0.2779949776347989</v>
      </c>
      <c r="D26" s="11">
        <f>IFERROR('ESTADO DE RESULTADOS'!D8/'ESTADO DE RESULTADOS'!D6,0)</f>
        <v>0.3301044774396365</v>
      </c>
      <c r="E26" s="11">
        <f>IFERROR('ESTADO DE RESULTADOS'!E8/'ESTADO DE RESULTADOS'!E6,0)</f>
        <v>0.38289077526698734</v>
      </c>
      <c r="F26" s="11">
        <f>IFERROR('ESTADO DE RESULTADOS'!F8/'ESTADO DE RESULTADOS'!F6,0)</f>
        <v>0.4148758113570528</v>
      </c>
      <c r="G26" s="11">
        <f>IFERROR('ESTADO DE RESULTADOS'!G8/'ESTADO DE RESULTADOS'!G6,0)</f>
        <v>0.45793576624457055</v>
      </c>
      <c r="H26" s="11">
        <f>IFERROR('ESTADO DE RESULTADOS'!H8/'ESTADO DE RESULTADOS'!H6,0)</f>
        <v>0.48362039883521324</v>
      </c>
      <c r="I26" s="11">
        <f>IFERROR('ESTADO DE RESULTADOS'!I8/'ESTADO DE RESULTADOS'!I6,0)</f>
        <v>0.4787120743623896</v>
      </c>
      <c r="J26" s="11">
        <f>IFERROR('ESTADO DE RESULTADOS'!J8/'ESTADO DE RESULTADOS'!J6,0)</f>
        <v>0.5008233288523057</v>
      </c>
      <c r="K26" s="11">
        <f>IFERROR('ESTADO DE RESULTADOS'!K8/'ESTADO DE RESULTADOS'!K6,0)</f>
        <v>0.519716702348615</v>
      </c>
      <c r="L26" s="12" t="s">
        <v>612</v>
      </c>
    </row>
    <row r="27" spans="1:12" ht="18" customHeight="1">
      <c r="A27" s="5" t="s">
        <v>616</v>
      </c>
      <c r="B27" s="11">
        <f>IFERROR('ESTADO DE RESULTADOS'!B13/'ESTADO DE RESULTADOS'!B6,0)</f>
        <v>-0.055022936964865606</v>
      </c>
      <c r="C27" s="11">
        <f>IFERROR('ESTADO DE RESULTADOS'!C13/'ESTADO DE RESULTADOS'!C6,0)</f>
        <v>0.00423455710921763</v>
      </c>
      <c r="D27" s="11">
        <f>IFERROR('ESTADO DE RESULTADOS'!D13/'ESTADO DE RESULTADOS'!D6,0)</f>
        <v>0.09736251030641166</v>
      </c>
      <c r="E27" s="11">
        <f>IFERROR('ESTADO DE RESULTADOS'!E13/'ESTADO DE RESULTADOS'!E6,0)</f>
        <v>0.16318813021376857</v>
      </c>
      <c r="F27" s="11">
        <f>IFERROR('ESTADO DE RESULTADOS'!F13/'ESTADO DE RESULTADOS'!F6,0)</f>
        <v>0.1841290679351098</v>
      </c>
      <c r="G27" s="11">
        <f>IFERROR('ESTADO DE RESULTADOS'!G13/'ESTADO DE RESULTADOS'!G6,0)</f>
        <v>0.3104110769249909</v>
      </c>
      <c r="H27" s="11">
        <f>IFERROR('ESTADO DE RESULTADOS'!H13/'ESTADO DE RESULTADOS'!H6,0)</f>
        <v>0.33928253527957586</v>
      </c>
      <c r="I27" s="11">
        <f>IFERROR('ESTADO DE RESULTADOS'!I13/'ESTADO DE RESULTADOS'!I6,0)</f>
        <v>0.3267188027967871</v>
      </c>
      <c r="J27" s="11">
        <f>IFERROR('ESTADO DE RESULTADOS'!J13/'ESTADO DE RESULTADOS'!J6,0)</f>
        <v>0.37525375451769605</v>
      </c>
      <c r="K27" s="11">
        <f>IFERROR('ESTADO DE RESULTADOS'!K13/'ESTADO DE RESULTADOS'!K6,0)</f>
        <v>0.39629633222075766</v>
      </c>
      <c r="L27" s="12" t="s">
        <v>612</v>
      </c>
    </row>
    <row r="28" spans="1:12" ht="18" customHeight="1">
      <c r="A28" s="5" t="s">
        <v>617</v>
      </c>
      <c r="B28" s="11">
        <f>IFERROR('ESTADO DE RESULTADOS'!B18/'ESTADO DE RESULTADOS'!B6,0)</f>
        <v>-0.11481035946265125</v>
      </c>
      <c r="C28" s="11">
        <f>IFERROR('ESTADO DE RESULTADOS'!C18/'ESTADO DE RESULTADOS'!C6,0)</f>
        <v>-0.04294613445487472</v>
      </c>
      <c r="D28" s="11">
        <f>IFERROR('ESTADO DE RESULTADOS'!D18/'ESTADO DE RESULTADOS'!D6,0)</f>
        <v>0.041867391524464455</v>
      </c>
      <c r="E28" s="11">
        <f>IFERROR('ESTADO DE RESULTADOS'!E18/'ESTADO DE RESULTADOS'!E6,0)</f>
        <v>0.09508403903528227</v>
      </c>
      <c r="F28" s="11">
        <f>IFERROR('ESTADO DE RESULTADOS'!F18/'ESTADO DE RESULTADOS'!F6,0)</f>
        <v>0.11318876484690621</v>
      </c>
      <c r="G28" s="11">
        <f>IFERROR('ESTADO DE RESULTADOS'!G18/'ESTADO DE RESULTADOS'!G6,0)</f>
        <v>0.20995750812929542</v>
      </c>
      <c r="H28" s="11">
        <f>IFERROR('ESTADO DE RESULTADOS'!H18/'ESTADO DE RESULTADOS'!H6,0)</f>
        <v>0.2332489723093826</v>
      </c>
      <c r="I28" s="11">
        <f>IFERROR('ESTADO DE RESULTADOS'!I18/'ESTADO DE RESULTADOS'!I6,0)</f>
        <v>0.22728473378858638</v>
      </c>
      <c r="J28" s="11">
        <f>IFERROR('ESTADO DE RESULTADOS'!J18/'ESTADO DE RESULTADOS'!J6,0)</f>
        <v>0.2645538969349757</v>
      </c>
      <c r="K28" s="11">
        <f>IFERROR('ESTADO DE RESULTADOS'!K18/'ESTADO DE RESULTADOS'!K6,0)</f>
        <v>0.27938891421563417</v>
      </c>
      <c r="L28" s="12" t="s">
        <v>612</v>
      </c>
    </row>
    <row r="29" spans="1:12" ht="18" customHeight="1">
      <c r="A29" s="5" t="s">
        <v>618</v>
      </c>
      <c r="B29" s="10">
        <f>IFERROR('ESTADO DE RESULTADOS'!B6/'BALANCE GENERAL PROYECTADO'!C18,0)</f>
        <v>2.046975813450216</v>
      </c>
      <c r="C29" s="10">
        <f>IFERROR('ESTADO DE RESULTADOS'!C6/'BALANCE GENERAL PROYECTADO'!D18,0)</f>
        <v>2.8644954107797718</v>
      </c>
      <c r="D29" s="10">
        <f>IFERROR('ESTADO DE RESULTADOS'!D6/'BALANCE GENERAL PROYECTADO'!E18,0)</f>
        <v>3.0825313989063505</v>
      </c>
      <c r="E29" s="10">
        <f>IFERROR('ESTADO DE RESULTADOS'!E6/'BALANCE GENERAL PROYECTADO'!F18,0)</f>
        <v>2.674213356749948</v>
      </c>
      <c r="F29" s="10">
        <f>IFERROR('ESTADO DE RESULTADOS'!F6/'BALANCE GENERAL PROYECTADO'!G18,0)</f>
        <v>2.1868948921952986</v>
      </c>
      <c r="G29" s="10">
        <f>IFERROR('ESTADO DE RESULTADOS'!G6/'BALANCE GENERAL PROYECTADO'!H18,0)</f>
        <v>1.7723934014576348</v>
      </c>
      <c r="H29" s="10">
        <f>IFERROR('ESTADO DE RESULTADOS'!H6/'BALANCE GENERAL PROYECTADO'!I18,0)</f>
        <v>1.3285220127222532</v>
      </c>
      <c r="I29" s="10">
        <f>IFERROR('ESTADO DE RESULTADOS'!I6/'BALANCE GENERAL PROYECTADO'!J18,0)</f>
        <v>1.0873863801853225</v>
      </c>
      <c r="J29" s="10">
        <f>IFERROR('ESTADO DE RESULTADOS'!J6/'BALANCE GENERAL PROYECTADO'!K18,0)</f>
        <v>0.991397975957506</v>
      </c>
      <c r="K29" s="10">
        <f>IFERROR('ESTADO DE RESULTADOS'!K6/'BALANCE GENERAL PROYECTADO'!L18,0)</f>
        <v>0.8093093098324082</v>
      </c>
      <c r="L29" s="12" t="s">
        <v>597</v>
      </c>
    </row>
    <row r="30" spans="1:12" ht="18" customHeight="1">
      <c r="A30" s="5" t="s">
        <v>619</v>
      </c>
      <c r="B30" s="11">
        <f>IFERROR('ESTADO DE RESULTADOS'!B18/'BALANCE GENERAL PROYECTADO'!C18,0)</f>
        <v>-0.23501402895357226</v>
      </c>
      <c r="C30" s="11">
        <f>IFERROR('ESTADO DE RESULTADOS'!C18/'BALANCE GENERAL PROYECTADO'!D18,0)</f>
        <v>-0.12301900505671967</v>
      </c>
      <c r="D30" s="11">
        <f>IFERROR('ESTADO DE RESULTADOS'!D18/'BALANCE GENERAL PROYECTADO'!E18,0)</f>
        <v>0.1290575489644673</v>
      </c>
      <c r="E30" s="11">
        <f>IFERROR('ESTADO DE RESULTADOS'!E18/'BALANCE GENERAL PROYECTADO'!F18,0)</f>
        <v>0.25427500720188534</v>
      </c>
      <c r="F30" s="11">
        <f>IFERROR('ESTADO DE RESULTADOS'!F18/'BALANCE GENERAL PROYECTADO'!G18,0)</f>
        <v>0.24753193169759397</v>
      </c>
      <c r="G30" s="11">
        <f>IFERROR('ESTADO DE RESULTADOS'!G18/'BALANCE GENERAL PROYECTADO'!H18,0)</f>
        <v>0.37212730199485095</v>
      </c>
      <c r="H30" s="11">
        <f>IFERROR('ESTADO DE RESULTADOS'!H18/'BALANCE GENERAL PROYECTADO'!I18,0)</f>
        <v>0.30987639415785806</v>
      </c>
      <c r="I30" s="11">
        <f>IFERROR('ESTADO DE RESULTADOS'!I18/'BALANCE GENERAL PROYECTADO'!J18,0)</f>
        <v>0.2471463239457556</v>
      </c>
      <c r="J30" s="11">
        <f>IFERROR('ESTADO DE RESULTADOS'!J18/'BALANCE GENERAL PROYECTADO'!K18,0)</f>
        <v>0.26227819795300555</v>
      </c>
      <c r="K30" s="11">
        <f>IFERROR('ESTADO DE RESULTADOS'!K18/'BALANCE GENERAL PROYECTADO'!L18,0)</f>
        <v>0.22611204933868082</v>
      </c>
      <c r="L30" s="12" t="s">
        <v>612</v>
      </c>
    </row>
    <row r="32" spans="1:12" ht="20" customHeight="1">
      <c r="A32" s="3" t="s">
        <v>620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  <row r="33" spans="1:12" ht="18" customHeight="1">
      <c r="A33" s="4" t="s">
        <v>3</v>
      </c>
      <c r="B33" s="4" t="s">
        <v>4</v>
      </c>
      <c r="C33" s="4" t="s">
        <v>5</v>
      </c>
      <c r="D33" s="4" t="s">
        <v>6</v>
      </c>
      <c r="E33" s="4" t="s">
        <v>7</v>
      </c>
      <c r="F33" s="4" t="s">
        <v>8</v>
      </c>
      <c r="G33" s="4" t="s">
        <v>9</v>
      </c>
      <c r="H33" s="4" t="s">
        <v>10</v>
      </c>
      <c r="I33" s="4" t="s">
        <v>11</v>
      </c>
      <c r="J33" s="4" t="s">
        <v>12</v>
      </c>
      <c r="K33" s="4" t="s">
        <v>13</v>
      </c>
      <c r="L33" s="4" t="s">
        <v>147</v>
      </c>
    </row>
    <row r="34" spans="1:12" ht="18" customHeight="1">
      <c r="A34" s="5" t="s">
        <v>621</v>
      </c>
      <c r="B34" s="10">
        <f>IFERROR('ESTADO DE RESULTADOS'!B13/'ESTADO DE RESULTADOS'!B14,0)</f>
        <v>-0.9203095679012336</v>
      </c>
      <c r="C34" s="10">
        <f>IFERROR('ESTADO DE RESULTADOS'!C13/'ESTADO DE RESULTADOS'!C14,0)</f>
        <v>0.08975190843621314</v>
      </c>
      <c r="D34" s="10">
        <f>IFERROR('ESTADO DE RESULTADOS'!D13/'ESTADO DE RESULTADOS'!D14,0)</f>
        <v>2.5637811524176954</v>
      </c>
      <c r="E34" s="10">
        <f>IFERROR('ESTADO DE RESULTADOS'!E13/'ESTADO DE RESULTADOS'!E14,0)</f>
        <v>5.762872101857367</v>
      </c>
      <c r="F34" s="10">
        <f>IFERROR('ESTADO DE RESULTADOS'!F13/'ESTADO DE RESULTADOS'!F14,0)</f>
        <v>7.8094821298626815</v>
      </c>
      <c r="G34" s="10">
        <f>IFERROR('ESTADO DE RESULTADOS'!G13/'ESTADO DE RESULTADOS'!G14,0)</f>
        <v>24.63773820531282</v>
      </c>
      <c r="H34" s="10">
        <f>IFERROR('ESTADO DE RESULTADOS'!H13/'ESTADO DE RESULTADOS'!H14,0)</f>
        <v>40.23305882945342</v>
      </c>
      <c r="I34" s="10">
        <f>IFERROR('ESTADO DE RESULTADOS'!I13/'ESTADO DE RESULTADOS'!I14,0)</f>
        <v>75.47021028992557</v>
      </c>
      <c r="J34" s="10">
        <f>IFERROR('ESTADO DE RESULTADOS'!J13/'ESTADO DE RESULTADOS'!J14,0)</f>
        <v>0.0</v>
      </c>
      <c r="K34" s="10">
        <f>IFERROR('ESTADO DE RESULTADOS'!K13/'ESTADO DE RESULTADOS'!K14,0)</f>
        <v>0.0</v>
      </c>
      <c r="L34" s="12" t="s">
        <v>597</v>
      </c>
    </row>
  </sheetData>
  <mergeCells count="7">
    <mergeCell ref="A1:L1"/>
    <mergeCell ref="A2:L2"/>
    <mergeCell ref="A4:L4"/>
    <mergeCell ref="A10:L10"/>
    <mergeCell ref="A19:L19"/>
    <mergeCell ref="A24:L24"/>
    <mergeCell ref="A32:L32"/>
  </mergeCells>
  <pageMargins left="0.25" right="0.25" top="0.35" bottom="0.35" header="0.3" footer="0.3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M67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31.7109375" customWidth="1"/>
    <col min="2" max="13" width="12.7109375" customWidth="1"/>
  </cols>
  <sheetData>
    <row r="1" spans="1:13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customHeight="1">
      <c r="A2" s="2" t="s">
        <v>622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 ht="20" customHeight="1">
      <c r="A4" s="3" t="s">
        <v>595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ht="18" customHeight="1">
      <c r="A5" s="20" t="s">
        <v>596</v>
      </c>
      <c r="B5" s="12" t="str">
        <f>"Indice de solvencia: Ano 1 = "&amp;TEXT('RAZONES FINANCIERAS'!B6,"0.00")&amp;" veces; Ano 10 = "&amp;TEXT('RAZONES FINANCIERAS'!K6,"0.00")&amp;" veces. Un valor menor a 1 advierte presion para cubrir obligaciones de corto plazo."</f>
        <v>Indice de solvencia: Ano 1 = 2.41 veces; Ano 10 = 8.08 veces. Un valor menor a 1 advierte presion para cubrir obligaciones de corto plazo.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</row>
    <row r="6" spans="1:13" ht="18" customHeight="1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</row>
    <row r="7" spans="1:13" ht="18" customHeight="1"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</row>
    <row r="9" spans="1:13" ht="18" customHeight="1">
      <c r="A9" s="20" t="s">
        <v>598</v>
      </c>
      <c r="B9" s="12" t="str">
        <f>"Capital de trabajo neto: Ano 1 = S/ "&amp;TEXT('RAZONES FINANCIERAS'!B7,"#,##0.00")&amp;"; Ano 10 = S/ "&amp;TEXT('RAZONES FINANCIERAS'!K7,"#,##0.00")&amp;". La mejora refleja la acumulacion de caja y la expansion de los contratos recurrentes."</f>
        <v>Capital de trabajo neto: Ano 1 = S/ 38,139.97; Ano 10 = S/ 2,781,599.09. La mejora refleja la acumulacion de caja y la expansion de los contratos recurrentes.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ht="18" customHeight="1"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ht="18" customHeight="1"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3" spans="1:13" ht="18" customHeight="1">
      <c r="A13" s="20" t="s">
        <v>600</v>
      </c>
      <c r="B13" s="12" t="str">
        <f>"Prueba del acido: Ano 1 = "&amp;TEXT('RAZONES FINANCIERAS'!B8,"0.00")&amp;" veces; Ano 10 = "&amp;TEXT('RAZONES FINANCIERAS'!K8,"0.00")&amp;" veces. Coincide con la solvencia porque MuseIQ no mantiene inventarios de productos terminados."</f>
        <v>Prueba del acido: Ano 1 = 2.41 veces; Ano 10 = 8.08 veces. Coincide con la solvencia porque MuseIQ no mantiene inventarios de productos terminados.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</row>
    <row r="14" spans="1:13" ht="18" customHeight="1"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 spans="1:13" ht="18" customHeight="1"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7" spans="1:13" ht="20" customHeight="1">
      <c r="A17" s="3" t="s">
        <v>601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ht="18" customHeight="1">
      <c r="A18" s="20" t="s">
        <v>605</v>
      </c>
      <c r="B18" s="12" t="str">
        <f>"Rotacion de cuentas por cobrar: Ano 1 = "&amp;TEXT('RAZONES FINANCIERAS'!B14,"0.00")&amp;" veces; Ano 10 = "&amp;TEXT('RAZONES FINANCIERAS'!K14,"0.00")&amp;" veces. La cobranza institucional debe controlarse mediante hitos, conformidades y anticipos."</f>
        <v>Rotacion de cuentas por cobrar: Ano 1 = 8.33 veces; Ano 10 = 8.33 veces. La cobranza institucional debe controlarse mediante hitos, conformidades y anticipos.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ht="18" customHeight="1"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ht="18" customHeight="1"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ht="18" customHeight="1">
      <c r="A22" s="20" t="s">
        <v>606</v>
      </c>
      <c r="B22" s="12" t="str">
        <f>"Plazo promedio de cobro: Ano 1 = "&amp;TEXT('RAZONES FINANCIERAS'!B15,"0.00")&amp;" dias; Ano 10 = "&amp;TEXT('RAZONES FINANCIERAS'!K15,"0.00")&amp;" dias. El plazo resulta de la politica de credito y del saldo pendiente al cierre."</f>
        <v>Plazo promedio de cobro: Ano 1 = 43.20 dias; Ano 10 = 43.20 dias. El plazo resulta de la politica de credito y del saldo pendiente al cierre.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</row>
    <row r="23" spans="1:13" ht="18" customHeight="1"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</row>
    <row r="24" spans="1:13" ht="18" customHeight="1"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</row>
    <row r="26" spans="1:13" ht="18" customHeight="1">
      <c r="A26" s="20" t="s">
        <v>608</v>
      </c>
      <c r="B26" s="12" t="str">
        <f>"Rotacion de cuentas por pagar: Ano 1 = "&amp;TEXT('RAZONES FINANCIERAS'!B16,"0.00")&amp;" veces; Ano 10 = "&amp;TEXT('RAZONES FINANCIERAS'!K16,"0.00")&amp;" veces. Mide la velocidad con la que se cancelan compras y servicios directos financiados."</f>
        <v>Rotacion de cuentas por pagar: Ano 1 = 9.52 veces; Ano 10 = 9.52 veces. Mide la velocidad con la que se cancelan compras y servicios directos financiados.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</row>
    <row r="27" spans="1:13" ht="18" customHeight="1"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</row>
    <row r="28" spans="1:13" ht="18" customHeight="1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</row>
    <row r="30" spans="1:13" ht="18" customHeight="1">
      <c r="A30" s="20" t="s">
        <v>609</v>
      </c>
      <c r="B30" s="12" t="str">
        <f>"Plazo promedio de pago: Ano 1 = "&amp;TEXT('RAZONES FINANCIERAS'!B17,"0.00")&amp;" dias; Ano 10 = "&amp;TEXT('RAZONES FINANCIERAS'!K17,"0.00")&amp;" dias. Debe coordinarse con el calendario de cobro para evitar brechas de capital de trabajo."</f>
        <v>Plazo promedio de pago: Ano 1 = 37.80 dias; Ano 10 = 37.80 dias. Debe coordinarse con el calendario de cobro para evitar brechas de capital de trabajo.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</row>
    <row r="31" spans="1:13" ht="18" customHeight="1"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</row>
    <row r="32" spans="1:13" ht="18" customHeight="1"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</row>
    <row r="34" spans="1:13" ht="20" customHeight="1">
      <c r="A34" s="3" t="s">
        <v>610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ht="18" customHeight="1">
      <c r="A35" s="20" t="s">
        <v>611</v>
      </c>
      <c r="B35" s="12" t="str">
        <f>"Razon de endeudamiento: Ano 1 = "&amp;TEXT('RAZONES FINANCIERAS'!B21,"0.00%")&amp;"; Ano 10 = "&amp;TEXT('RAZONES FINANCIERAS'!K21,"0.00%")&amp;". La proporcion disminuye conforme se amortiza el prestamo y crece el patrimonio."</f>
        <v>Razon de endeudamiento: Ano 1 = 78.17%; Ano 10 = 12.37%. La proporcion disminuye conforme se amortiza el prestamo y crece el patrimonio.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</row>
    <row r="36" spans="1:13" ht="18" customHeight="1"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</row>
    <row r="37" spans="1:13" ht="18" customHeight="1"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</row>
    <row r="39" spans="1:13" ht="18" customHeight="1">
      <c r="A39" s="20" t="s">
        <v>623</v>
      </c>
      <c r="B39" s="12" t="str">
        <f>"Pasivo / capital: Ano 1 = "&amp;TEXT('RAZONES FINANCIERAS'!B22,"0.00")&amp;" veces; Ano 10 = "&amp;TEXT('RAZONES FINANCIERAS'!K22,"0.00")&amp;" veces. Un nivel alto al inicio responde al financiamiento del 60% de la inversion."</f>
        <v>Pasivo / capital: Ano 1 = 3.58 veces; Ano 10 = 0.14 veces. Un nivel alto al inicio responde al financiamiento del 60% de la inversion.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</row>
    <row r="40" spans="1:13" ht="18" customHeight="1"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</row>
    <row r="41" spans="1:13" ht="18" customHeight="1"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</row>
    <row r="43" spans="1:13" ht="20" customHeight="1">
      <c r="A43" s="3" t="s">
        <v>614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 ht="18" customHeight="1">
      <c r="A44" s="20" t="s">
        <v>615</v>
      </c>
      <c r="B44" s="12" t="str">
        <f>"Margen bruto: Ano 1 = "&amp;TEXT('RAZONES FINANCIERAS'!B26,"0.00%")&amp;"; Ano 10 = "&amp;TEXT('RAZONES FINANCIERAS'!K26,"0.00%")&amp;". Mide lo que queda de las ventas despues del costo de prestar e implementar el servicio."</f>
        <v>Margen bruto: Ano 1 = 27.39%; Ano 10 = 51.97%. Mide lo que queda de las ventas despues del costo de prestar e implementar el servicio.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</row>
    <row r="45" spans="1:13" ht="18" customHeight="1"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</row>
    <row r="46" spans="1:13" ht="18" customHeight="1"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</row>
    <row r="48" spans="1:13" ht="18" customHeight="1">
      <c r="A48" s="20" t="s">
        <v>616</v>
      </c>
      <c r="B48" s="12" t="str">
        <f>"Margen operativo: Ano 1 = "&amp;TEXT('RAZONES FINANCIERAS'!B27,"0.00%")&amp;"; Ano 10 = "&amp;TEXT('RAZONES FINANCIERAS'!K27,"0.00%")&amp;". Mejora cuando la cartera recurrente absorbe la estructura administrativa y comercial."</f>
        <v>Margen operativo: Ano 1 = -5.50%; Ano 10 = 39.63%. Mejora cuando la cartera recurrente absorbe la estructura administrativa y comercial.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 ht="18" customHeight="1"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</row>
    <row r="50" spans="1:13" ht="18" customHeight="1"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</row>
    <row r="52" spans="1:13" ht="18" customHeight="1">
      <c r="A52" s="20" t="s">
        <v>617</v>
      </c>
      <c r="B52" s="12" t="str">
        <f>"Margen neto: Ano 1 = "&amp;TEXT('RAZONES FINANCIERAS'!B28,"0.00%")&amp;"; Ano 10 = "&amp;TEXT('RAZONES FINANCIERAS'!K28,"0.00%")&amp;". Incluye costos, gastos operativos, intereses e impuesto a la renta."</f>
        <v>Margen neto: Ano 1 = -11.48%; Ano 10 = 27.94%. Incluye costos, gastos operativos, intereses e impuesto a la renta.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</row>
    <row r="53" spans="1:13" ht="18" customHeight="1"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</row>
    <row r="54" spans="1:13" ht="18" customHeight="1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</row>
    <row r="56" spans="1:13" ht="18" customHeight="1">
      <c r="A56" s="20" t="s">
        <v>618</v>
      </c>
      <c r="B56" s="12" t="str">
        <f>"Rotacion total del activo: Ano 1 = "&amp;TEXT('RAZONES FINANCIERAS'!B29,"0.00")&amp;" veces; Ano 10 = "&amp;TEXT('RAZONES FINANCIERAS'!K29,"0.00")&amp;" veces. Relaciona las ventas generadas con los activos totales empleados por MuseIQ."</f>
        <v>Rotacion total del activo: Ano 1 = 2.05 veces; Ano 10 = 0.81 veces. Relaciona las ventas generadas con los activos totales empleados por MuseIQ.</v>
      </c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</row>
    <row r="57" spans="1:13" ht="18" customHeight="1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</row>
    <row r="58" spans="1:13" ht="18" customHeight="1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</row>
    <row r="60" spans="1:13" ht="18" customHeight="1">
      <c r="A60" s="20" t="s">
        <v>624</v>
      </c>
      <c r="B60" s="12" t="str">
        <f>"Rendimiento sobre activos: Ano 1 = "&amp;TEXT('RAZONES FINANCIERAS'!B30,"0.00%")&amp;"; Ano 10 = "&amp;TEXT('RAZONES FINANCIERAS'!K30,"0.00%")&amp;". Expresa la utilidad neta obtenida por cada sol mantenido en activos."</f>
        <v>Rendimiento sobre activos: Ano 1 = -23.50%; Ano 10 = 22.61%. Expresa la utilidad neta obtenida por cada sol mantenido en activos.</v>
      </c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</row>
    <row r="61" spans="1:13" ht="18" customHeight="1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</row>
    <row r="62" spans="1:13" ht="18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</row>
    <row r="64" spans="1:13" ht="20" customHeight="1">
      <c r="A64" s="3" t="s">
        <v>620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</row>
    <row r="65" spans="1:13" ht="18" customHeight="1">
      <c r="A65" s="20" t="s">
        <v>621</v>
      </c>
      <c r="B65" s="12" t="str">
        <f>"Cobertura de intereses: Ano 1 = "&amp;TEXT('RAZONES FINANCIERAS'!B34,"0.00")&amp;" veces; Ano 10 = "&amp;TEXT('RAZONES FINANCIERAS'!K34,"0.00")&amp;" veces. Los primeros anos concentran el mayor riesgo financiero; la cobertura mejora con la escala."</f>
        <v>Cobertura de intereses: Ano 1 = -0.92 veces; Ano 10 = 0.00 veces. Los primeros anos concentran el mayor riesgo financiero; la cobertura mejora con la escala.</v>
      </c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</row>
    <row r="66" spans="1:13" ht="18" customHeight="1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</row>
    <row r="67" spans="1:13" ht="18" customHeight="1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</row>
  </sheetData>
  <mergeCells count="22">
    <mergeCell ref="A1:M1"/>
    <mergeCell ref="A2:M2"/>
    <mergeCell ref="A4:M4"/>
    <mergeCell ref="B5:M7"/>
    <mergeCell ref="B9:M11"/>
    <mergeCell ref="B13:M15"/>
    <mergeCell ref="A17:M17"/>
    <mergeCell ref="B18:M20"/>
    <mergeCell ref="B22:M24"/>
    <mergeCell ref="B26:M28"/>
    <mergeCell ref="B30:M32"/>
    <mergeCell ref="A34:M34"/>
    <mergeCell ref="B35:M37"/>
    <mergeCell ref="B39:M41"/>
    <mergeCell ref="A43:M43"/>
    <mergeCell ref="B44:M46"/>
    <mergeCell ref="B48:M50"/>
    <mergeCell ref="B52:M54"/>
    <mergeCell ref="B56:M58"/>
    <mergeCell ref="B60:M62"/>
    <mergeCell ref="A64:M64"/>
    <mergeCell ref="B65:M67"/>
  </mergeCells>
  <pageMargins left="0.25" right="0.25" top="0.35" bottom="0.35" header="0.3" footer="0.3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24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39.7109375" customWidth="1"/>
    <col min="2" max="11" width="13.7109375" customWidth="1"/>
    <col min="12" max="12" width="13.28515625" customWidth="1"/>
  </cols>
  <sheetData>
    <row r="1" spans="1:12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625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20" customHeight="1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</row>
    <row r="4" spans="1:12" ht="18" customHeight="1">
      <c r="A4" s="5" t="s">
        <v>303</v>
      </c>
      <c r="B4" s="9">
        <f>'ESTADO DE RESULTADOS'!B6</f>
        <v>541920.0</v>
      </c>
      <c r="C4" s="9">
        <f>'ESTADO DE RESULTADOS'!C6</f>
        <v>686721.6</v>
      </c>
      <c r="D4" s="9">
        <f>'ESTADO DE RESULTADOS'!D6</f>
        <v>853167.29</v>
      </c>
      <c r="E4" s="9">
        <f>'ESTADO DE RESULTADOS'!E6</f>
        <v>1023002.28</v>
      </c>
      <c r="F4" s="9">
        <f>'ESTADO DE RESULTADOS'!F6</f>
        <v>1056906.8</v>
      </c>
      <c r="G4" s="9">
        <f>'ESTADO DE RESULTADOS'!G6</f>
        <v>1598645.75</v>
      </c>
      <c r="H4" s="9">
        <f>'ESTADO DE RESULTADOS'!H6</f>
        <v>1719842.11</v>
      </c>
      <c r="I4" s="9">
        <f>'ESTADO DE RESULTADOS'!I6</f>
        <v>1813401.52</v>
      </c>
      <c r="J4" s="9">
        <f>'ESTADO DE RESULTADOS'!J6</f>
        <v>2399806.75</v>
      </c>
      <c r="K4" s="9">
        <f>'ESTADO DE RESULTADOS'!K6</f>
        <v>2570010.03</v>
      </c>
    </row>
    <row r="5" spans="1:12" ht="18" customHeight="1">
      <c r="A5" s="5" t="s">
        <v>626</v>
      </c>
      <c r="B5" s="9">
        <f>SUM(B6,B7,B8)</f>
        <v>320863.95</v>
      </c>
      <c r="C5" s="9">
        <f>SUM(C6,C7,C8)</f>
        <v>420336.11</v>
      </c>
      <c r="D5" s="9">
        <f>SUM(D6,D7,D8)</f>
        <v>493044.14</v>
      </c>
      <c r="E5" s="9">
        <f>SUM(E6,E7,E8)</f>
        <v>549658.31</v>
      </c>
      <c r="F5" s="9">
        <f>SUM(F6,F7,F8)</f>
        <v>540590.96</v>
      </c>
      <c r="G5" s="9">
        <f>SUM(G6,G7,G8)</f>
        <v>791438.96</v>
      </c>
      <c r="H5" s="9">
        <f>SUM(H6,H7,H8)</f>
        <v>809313.38</v>
      </c>
      <c r="I5" s="9">
        <f>SUM(I6,I7,I8)</f>
        <v>862697.82</v>
      </c>
      <c r="J5" s="9">
        <f>SUM(J6,J7,J8)</f>
        <v>1111303.4</v>
      </c>
      <c r="K5" s="9">
        <f>SUM(K6,K7,K8)</f>
        <v>1143492.58</v>
      </c>
    </row>
    <row r="6" spans="1:12" ht="18" customHeight="1">
      <c r="A6" s="5" t="s">
        <v>627</v>
      </c>
      <c r="B6" s="9">
        <f>'COSTOS'!B48</f>
        <v>256760.0</v>
      </c>
      <c r="C6" s="9">
        <f>'COSTOS'!C48</f>
        <v>299482.8</v>
      </c>
      <c r="D6" s="9">
        <f>'COSTOS'!D48</f>
        <v>351259.75</v>
      </c>
      <c r="E6" s="9">
        <f>'COSTOS'!E48</f>
        <v>401135.71</v>
      </c>
      <c r="F6" s="9">
        <f>'COSTOS'!F48</f>
        <v>385007.3</v>
      </c>
      <c r="G6" s="9">
        <f>'COSTOS'!G48</f>
        <v>613229.84</v>
      </c>
      <c r="H6" s="9">
        <f>'COSTOS'!H48</f>
        <v>622588.66</v>
      </c>
      <c r="I6" s="9">
        <f>'COSTOS'!I48</f>
        <v>622265.33</v>
      </c>
      <c r="J6" s="9">
        <f>'COSTOS'!J48</f>
        <v>859276.36</v>
      </c>
      <c r="K6" s="9">
        <f>'COSTOS'!K48</f>
        <v>879308.35</v>
      </c>
    </row>
    <row r="7" spans="1:12" ht="18" customHeight="1">
      <c r="A7" s="5" t="s">
        <v>233</v>
      </c>
      <c r="B7" s="9">
        <f>'PLANILLA'!B9</f>
        <v>40303.95</v>
      </c>
      <c r="C7" s="9">
        <f>'PLANILLA'!C9</f>
        <v>87101.31</v>
      </c>
      <c r="D7" s="9">
        <f>'PLANILLA'!D9</f>
        <v>106682.32</v>
      </c>
      <c r="E7" s="9">
        <f>'PLANILLA'!E9</f>
        <v>112016.43</v>
      </c>
      <c r="F7" s="9">
        <f>'PLANILLA'!F9</f>
        <v>117617.25</v>
      </c>
      <c r="G7" s="9">
        <f>'PLANILLA'!G9</f>
        <v>138724.05</v>
      </c>
      <c r="H7" s="9">
        <f>'PLANILLA'!H9</f>
        <v>145660.26</v>
      </c>
      <c r="I7" s="9">
        <f>'PLANILLA'!I9</f>
        <v>197725.44</v>
      </c>
      <c r="J7" s="9">
        <f>'PLANILLA'!J9</f>
        <v>207611.71</v>
      </c>
      <c r="K7" s="9">
        <f>'PLANILLA'!K9</f>
        <v>217992.29</v>
      </c>
    </row>
    <row r="8" spans="1:12" ht="18" customHeight="1">
      <c r="A8" s="5" t="s">
        <v>628</v>
      </c>
      <c r="B8" s="9">
        <f>SUM('COSTOS'!B67:B70)</f>
        <v>23800.0</v>
      </c>
      <c r="C8" s="9">
        <f>SUM('COSTOS'!C67:C70)</f>
        <v>33752.0</v>
      </c>
      <c r="D8" s="9">
        <f>SUM('COSTOS'!D67:D70)</f>
        <v>35102.08</v>
      </c>
      <c r="E8" s="9">
        <f>SUM('COSTOS'!E67:E70)</f>
        <v>36506.16</v>
      </c>
      <c r="F8" s="9">
        <f>SUM('COSTOS'!F67:F70)</f>
        <v>37966.41</v>
      </c>
      <c r="G8" s="9">
        <f>SUM('COSTOS'!G67:G70)</f>
        <v>39485.07</v>
      </c>
      <c r="H8" s="9">
        <f>SUM('COSTOS'!H67:H70)</f>
        <v>41064.47</v>
      </c>
      <c r="I8" s="9">
        <f>SUM('COSTOS'!I67:I70)</f>
        <v>42707.05</v>
      </c>
      <c r="J8" s="9">
        <f>SUM('COSTOS'!J67:J70)</f>
        <v>44415.33</v>
      </c>
      <c r="K8" s="9">
        <f>SUM('COSTOS'!K67:K70)</f>
        <v>46191.94</v>
      </c>
    </row>
    <row r="9" spans="1:12" ht="18" customHeight="1">
      <c r="A9" s="5" t="s">
        <v>629</v>
      </c>
      <c r="B9" s="9">
        <f>SUM(B10:B13)</f>
        <v>283274.08</v>
      </c>
      <c r="C9" s="9">
        <f>SUM(C10:C13)</f>
        <v>295877.52</v>
      </c>
      <c r="D9" s="9">
        <f>SUM(D10:D13)</f>
        <v>309456.64</v>
      </c>
      <c r="E9" s="9">
        <f>SUM(E10:E13)</f>
        <v>335370.65</v>
      </c>
      <c r="F9" s="9">
        <f>SUM(F10:F13)</f>
        <v>346627.92</v>
      </c>
      <c r="G9" s="9">
        <f>SUM(G10:G13)</f>
        <v>331110.79</v>
      </c>
      <c r="H9" s="9">
        <f>SUM(H10:H13)</f>
        <v>341519.64</v>
      </c>
      <c r="I9" s="9">
        <f>SUM(I10:I13)</f>
        <v>366081.74</v>
      </c>
      <c r="J9" s="9">
        <f>SUM(J10:J13)</f>
        <v>387966.86</v>
      </c>
      <c r="K9" s="9">
        <f>SUM(K10:K13)</f>
        <v>408031.9</v>
      </c>
    </row>
    <row r="10" spans="1:12" ht="18" customHeight="1">
      <c r="A10" s="5" t="s">
        <v>630</v>
      </c>
      <c r="B10" s="9">
        <f>'PLANILLA'!B10+'COSTOS'!B71+'DEPRECIACIONES AMORTIZACION'!B104</f>
        <v>72613.4</v>
      </c>
      <c r="C10" s="9">
        <f>'PLANILLA'!C10+'COSTOS'!C71+'DEPRECIACIONES AMORTIZACION'!C104</f>
        <v>75480.33</v>
      </c>
      <c r="D10" s="9">
        <f>'PLANILLA'!D10+'COSTOS'!D71+'DEPRECIACIONES AMORTIZACION'!D104</f>
        <v>78488.81</v>
      </c>
      <c r="E10" s="9">
        <f>'PLANILLA'!E10+'COSTOS'!E71+'DEPRECIACIONES AMORTIZACION'!E104</f>
        <v>81645.83</v>
      </c>
      <c r="F10" s="9">
        <f>'PLANILLA'!F10+'COSTOS'!F71+'DEPRECIACIONES AMORTIZACION'!F104</f>
        <v>77830.77</v>
      </c>
      <c r="G10" s="9">
        <f>'PLANILLA'!G10+'COSTOS'!G71+'DEPRECIACIONES AMORTIZACION'!G104</f>
        <v>75129.72</v>
      </c>
      <c r="H10" s="9">
        <f>'PLANILLA'!H10+'COSTOS'!H71+'DEPRECIACIONES AMORTIZACION'!H104</f>
        <v>78778.0</v>
      </c>
      <c r="I10" s="9">
        <f>'PLANILLA'!I10+'COSTOS'!I71+'DEPRECIACIONES AMORTIZACION'!I104</f>
        <v>82606.5</v>
      </c>
      <c r="J10" s="9">
        <f>'PLANILLA'!J10+'COSTOS'!J71+'DEPRECIACIONES AMORTIZACION'!J104</f>
        <v>86624.15</v>
      </c>
      <c r="K10" s="9">
        <f>'PLANILLA'!K10+'COSTOS'!K71+'DEPRECIACIONES AMORTIZACION'!K104</f>
        <v>90840.31</v>
      </c>
    </row>
    <row r="11" spans="1:12" ht="18" customHeight="1">
      <c r="A11" s="5" t="s">
        <v>295</v>
      </c>
      <c r="B11" s="9">
        <f>'GASTOS_ADM_VTAS_FINANZAS'!B15</f>
        <v>133486.74</v>
      </c>
      <c r="C11" s="9">
        <f>'GASTOS_ADM_VTAS_FINANZAS'!C15</f>
        <v>138201.92</v>
      </c>
      <c r="D11" s="9">
        <f>'GASTOS_ADM_VTAS_FINANZAS'!D15</f>
        <v>143146.46</v>
      </c>
      <c r="E11" s="9">
        <f>'GASTOS_ADM_VTAS_FINANZAS'!E15</f>
        <v>148331.56</v>
      </c>
      <c r="F11" s="9">
        <f>'GASTOS_ADM_VTAS_FINANZAS'!F15</f>
        <v>164242.94</v>
      </c>
      <c r="G11" s="9">
        <f>'GASTOS_ADM_VTAS_FINANZAS'!G15</f>
        <v>140187.95</v>
      </c>
      <c r="H11" s="9">
        <f>'GASTOS_ADM_VTAS_FINANZAS'!H15</f>
        <v>146967.04</v>
      </c>
      <c r="I11" s="9">
        <f>'GASTOS_ADM_VTAS_FINANZAS'!I15</f>
        <v>154077.3</v>
      </c>
      <c r="J11" s="9">
        <f>'GASTOS_ADM_VTAS_FINANZAS'!J15</f>
        <v>161534.98</v>
      </c>
      <c r="K11" s="9">
        <f>'GASTOS_ADM_VTAS_FINANZAS'!K15</f>
        <v>169357.12</v>
      </c>
    </row>
    <row r="12" spans="1:12" ht="18" customHeight="1">
      <c r="A12" s="5" t="s">
        <v>303</v>
      </c>
      <c r="B12" s="9">
        <f>'GASTOS_ADM_VTAS_FINANZAS'!B8</f>
        <v>44773.94</v>
      </c>
      <c r="C12" s="9">
        <f>'GASTOS_ADM_VTAS_FINANZAS'!C8</f>
        <v>49795.27</v>
      </c>
      <c r="D12" s="9">
        <f>'GASTOS_ADM_VTAS_FINANZAS'!D8</f>
        <v>55421.38</v>
      </c>
      <c r="E12" s="9">
        <f>'GASTOS_ADM_VTAS_FINANZAS'!E8</f>
        <v>76424.74</v>
      </c>
      <c r="F12" s="9">
        <f>'GASTOS_ADM_VTAS_FINANZAS'!F8</f>
        <v>79634.86</v>
      </c>
      <c r="G12" s="9">
        <f>'GASTOS_ADM_VTAS_FINANZAS'!G8</f>
        <v>95651.77</v>
      </c>
      <c r="H12" s="9">
        <f>'GASTOS_ADM_VTAS_FINANZAS'!H8</f>
        <v>101271.29</v>
      </c>
      <c r="I12" s="9">
        <f>'GASTOS_ADM_VTAS_FINANZAS'!I8</f>
        <v>121547.53</v>
      </c>
      <c r="J12" s="9">
        <f>'GASTOS_ADM_VTAS_FINANZAS'!J8</f>
        <v>139807.73</v>
      </c>
      <c r="K12" s="9">
        <f>'GASTOS_ADM_VTAS_FINANZAS'!K8</f>
        <v>147834.47</v>
      </c>
    </row>
    <row r="13" spans="1:12" ht="18" customHeight="1">
      <c r="A13" s="5" t="s">
        <v>631</v>
      </c>
      <c r="B13" s="9">
        <f>'GASTOS_ADM_VTAS_FINANZAS'!B20</f>
        <v>32400.0</v>
      </c>
      <c r="C13" s="9">
        <f>'GASTOS_ADM_VTAS_FINANZAS'!C20</f>
        <v>32400.0</v>
      </c>
      <c r="D13" s="9">
        <f>'GASTOS_ADM_VTAS_FINANZAS'!D20</f>
        <v>32400.0</v>
      </c>
      <c r="E13" s="9">
        <f>'GASTOS_ADM_VTAS_FINANZAS'!E20</f>
        <v>28968.51</v>
      </c>
      <c r="F13" s="9">
        <f>'GASTOS_ADM_VTAS_FINANZAS'!F20</f>
        <v>24919.36</v>
      </c>
      <c r="G13" s="9">
        <f>'GASTOS_ADM_VTAS_FINANZAS'!G20</f>
        <v>20141.35</v>
      </c>
      <c r="H13" s="9">
        <f>'GASTOS_ADM_VTAS_FINANZAS'!H20</f>
        <v>14503.31</v>
      </c>
      <c r="I13" s="9">
        <f>'GASTOS_ADM_VTAS_FINANZAS'!I20</f>
        <v>7850.41</v>
      </c>
      <c r="J13" s="9">
        <f>'GASTOS_ADM_VTAS_FINANZAS'!J20</f>
        <v>0.0</v>
      </c>
      <c r="K13" s="9">
        <f>'GASTOS_ADM_VTAS_FINANZAS'!K20</f>
        <v>0.0</v>
      </c>
    </row>
    <row r="14" spans="1:12" ht="18" customHeight="1">
      <c r="A14" s="8" t="s">
        <v>632</v>
      </c>
      <c r="B14" s="8">
        <f>IFERROR(B9/(1-B5/B4),0)</f>
        <v>694447.81</v>
      </c>
      <c r="C14" s="8">
        <f>IFERROR(C9/(1-C5/C4),0)</f>
        <v>762749.84</v>
      </c>
      <c r="D14" s="8">
        <f>IFERROR(D9/(1-D5/D4),0)</f>
        <v>733133.33</v>
      </c>
      <c r="E14" s="8">
        <f>IFERROR(E9/(1-E5/E4),0)</f>
        <v>724811.05</v>
      </c>
      <c r="F14" s="8">
        <f>IFERROR(F9/(1-F5/F4),0)</f>
        <v>709552.93</v>
      </c>
      <c r="G14" s="8">
        <f>IFERROR(G9/(1-G5/G4),0)</f>
        <v>655753.73</v>
      </c>
      <c r="H14" s="8">
        <f>IFERROR(H9/(1-H5/H4),0)</f>
        <v>645075.6</v>
      </c>
      <c r="I14" s="8">
        <f>IFERROR(I9/(1-I5/I4),0)</f>
        <v>698275.59</v>
      </c>
      <c r="J14" s="8">
        <f>IFERROR(J9/(1-J5/J4),0)</f>
        <v>722579.02</v>
      </c>
      <c r="K14" s="8">
        <f>IFERROR(K9/(1-K5/K4),0)</f>
        <v>735109.18</v>
      </c>
    </row>
    <row r="15" spans="1:12" ht="18" customHeight="1">
      <c r="A15" s="5" t="s">
        <v>633</v>
      </c>
      <c r="B15" s="10">
        <f>IFERROR(B14/(B4/MAX(1,'COSTOS'!B52+'COSTOS'!B54)),0)</f>
        <v>3.8443744923516014</v>
      </c>
      <c r="C15" s="10">
        <f>IFERROR(C14/(C4/MAX(1,'COSTOS'!C52+'COSTOS'!C54)),0)</f>
        <v>5.553559404229678</v>
      </c>
      <c r="D15" s="10">
        <f>IFERROR(D14/(D4/MAX(1,'COSTOS'!D52+'COSTOS'!D54)),0)</f>
        <v>7.304116509740489</v>
      </c>
      <c r="E15" s="10">
        <f>IFERROR(E14/(E4/MAX(1,'COSTOS'!E52+'COSTOS'!E54)),0)</f>
        <v>8.14790671112913</v>
      </c>
      <c r="F15" s="10">
        <f>IFERROR(F14/(F4/MAX(1,'COSTOS'!F52+'COSTOS'!F54)),0)</f>
        <v>9.73455508075044</v>
      </c>
      <c r="G15" s="10">
        <f>IFERROR(G14/(G4/MAX(1,'COSTOS'!G52+'COSTOS'!G54)),0)</f>
        <v>7.793672117380016</v>
      </c>
      <c r="H15" s="10">
        <f>IFERROR(H14/(H4/MAX(1,'COSTOS'!H52+'COSTOS'!H54)),0)</f>
        <v>8.62680279129886</v>
      </c>
      <c r="I15" s="10">
        <f>IFERROR(I14/(I4/MAX(1,'COSTOS'!I52+'COSTOS'!I54)),0)</f>
        <v>10.396727216417263</v>
      </c>
      <c r="J15" s="10">
        <f>IFERROR(J14/(J4/MAX(1,'COSTOS'!J52+'COSTOS'!J54)),0)</f>
        <v>9.785712173983953</v>
      </c>
      <c r="K15" s="10">
        <f>IFERROR(K14/(K4/MAX(1,'COSTOS'!K52+'COSTOS'!K54)),0)</f>
        <v>10.726259416551809</v>
      </c>
    </row>
    <row r="16" spans="1:12" ht="18" customHeight="1">
      <c r="A16" s="5" t="s">
        <v>634</v>
      </c>
      <c r="B16" s="11">
        <f>IFERROR(B14/B4,0)</f>
        <v>1.2814581641172005</v>
      </c>
      <c r="C16" s="11">
        <f>IFERROR(C14/C4,0)</f>
        <v>1.1107118808459358</v>
      </c>
      <c r="D16" s="11">
        <f>IFERROR(D14/D4,0)</f>
        <v>0.8593078246753516</v>
      </c>
      <c r="E16" s="11">
        <f>IFERROR(E14/E4,0)</f>
        <v>0.7085136270547069</v>
      </c>
      <c r="F16" s="11">
        <f>IFERROR(F14/F4,0)</f>
        <v>0.671348626258651</v>
      </c>
      <c r="G16" s="11">
        <f>IFERROR(G14/G4,0)</f>
        <v>0.4101932693357903</v>
      </c>
      <c r="H16" s="11">
        <f>IFERROR(H14/H4,0)</f>
        <v>0.37507838223038525</v>
      </c>
      <c r="I16" s="11">
        <f>IFERROR(I14/I4,0)</f>
        <v>0.38506397097841716</v>
      </c>
      <c r="J16" s="11">
        <f>IFERROR(J14/J4,0)</f>
        <v>0.3010988361225832</v>
      </c>
      <c r="K16" s="11">
        <f>IFERROR(K14/K4,0)</f>
        <v>0.2860335844413816</v>
      </c>
    </row>
    <row r="18" spans="1:11" ht="18" customHeight="1">
      <c r="A18" s="13" t="s">
        <v>635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11" ht="18" customHeight="1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</row>
    <row r="20" spans="1:11" ht="20" customHeight="1">
      <c r="A20" s="3" t="s">
        <v>636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ht="20" customHeight="1">
      <c r="A21" s="4" t="s">
        <v>3</v>
      </c>
      <c r="B21" s="4" t="s">
        <v>4</v>
      </c>
      <c r="C21" s="4" t="s">
        <v>5</v>
      </c>
      <c r="D21" s="4" t="s">
        <v>6</v>
      </c>
      <c r="E21" s="4" t="s">
        <v>7</v>
      </c>
      <c r="F21" s="4" t="s">
        <v>8</v>
      </c>
      <c r="G21" s="4" t="s">
        <v>9</v>
      </c>
      <c r="H21" s="4" t="s">
        <v>10</v>
      </c>
      <c r="I21" s="4" t="s">
        <v>11</v>
      </c>
      <c r="J21" s="4" t="s">
        <v>12</v>
      </c>
      <c r="K21" s="4" t="s">
        <v>13</v>
      </c>
    </row>
    <row r="22" spans="1:11" ht="18" customHeight="1">
      <c r="A22" s="5" t="s">
        <v>637</v>
      </c>
      <c r="B22" s="9">
        <f>B4-B5</f>
        <v>221056.05</v>
      </c>
      <c r="C22" s="9">
        <f>C4-C5</f>
        <v>266385.49</v>
      </c>
      <c r="D22" s="9">
        <f>D4-D5</f>
        <v>360123.15</v>
      </c>
      <c r="E22" s="9">
        <f>E4-E5</f>
        <v>473343.97</v>
      </c>
      <c r="F22" s="9">
        <f>F4-F5</f>
        <v>516315.83</v>
      </c>
      <c r="G22" s="9">
        <f>G4-G5</f>
        <v>807206.79</v>
      </c>
      <c r="H22" s="9">
        <f>H4-H5</f>
        <v>910528.73</v>
      </c>
      <c r="I22" s="9">
        <f>I4-I5</f>
        <v>950703.7</v>
      </c>
      <c r="J22" s="9">
        <f>J4-J5</f>
        <v>1288503.35</v>
      </c>
      <c r="K22" s="9">
        <f>K4-K5</f>
        <v>1426517.45</v>
      </c>
    </row>
    <row r="23" spans="1:11" ht="18" customHeight="1">
      <c r="A23" s="5" t="s">
        <v>638</v>
      </c>
      <c r="B23" s="9">
        <f>B22-B9</f>
        <v>-62218.03</v>
      </c>
      <c r="C23" s="9">
        <f>C22-C9</f>
        <v>-29492.04</v>
      </c>
      <c r="D23" s="9">
        <f>D22-D9</f>
        <v>50666.51</v>
      </c>
      <c r="E23" s="9">
        <f>E22-E9</f>
        <v>137973.32</v>
      </c>
      <c r="F23" s="9">
        <f>F22-F9</f>
        <v>169687.91</v>
      </c>
      <c r="G23" s="9">
        <f>G22-G9</f>
        <v>476096.0</v>
      </c>
      <c r="H23" s="9">
        <f>H22-H9</f>
        <v>569009.08</v>
      </c>
      <c r="I23" s="9">
        <f>I22-I9</f>
        <v>584621.96</v>
      </c>
      <c r="J23" s="9">
        <f>J22-J9</f>
        <v>900536.49</v>
      </c>
      <c r="K23" s="9">
        <f>K22-K9</f>
        <v>1018485.55</v>
      </c>
    </row>
    <row r="24" spans="1:11" ht="18" customHeight="1">
      <c r="A24" s="5" t="s">
        <v>639</v>
      </c>
      <c r="B24" s="10">
        <f>IFERROR(B22/B23,0)</f>
        <v>-3.5529258962394</v>
      </c>
      <c r="C24" s="10">
        <f>IFERROR(C22/C23,0)</f>
        <v>-9.032454261991797</v>
      </c>
      <c r="D24" s="10">
        <f>IFERROR(D22/D23,0)</f>
        <v>7.107715817830602</v>
      </c>
      <c r="E24" s="10">
        <f>IFERROR(E22/E23,0)</f>
        <v>3.4306921105628576</v>
      </c>
      <c r="F24" s="10">
        <f>IFERROR(F22/F23,0)</f>
        <v>3.0427379280848745</v>
      </c>
      <c r="G24" s="10">
        <f>IFERROR(G22/G23,0)</f>
        <v>1.6954706482814328</v>
      </c>
      <c r="H24" s="10">
        <f>IFERROR(H22/H23,0)</f>
        <v>1.6002006836778413</v>
      </c>
      <c r="I24" s="10">
        <f>IFERROR(I22/I23,0)</f>
        <v>1.6261854124746726</v>
      </c>
      <c r="J24" s="10">
        <f>IFERROR(J22/J23,0)</f>
        <v>1.430817477040851</v>
      </c>
      <c r="K24" s="10">
        <f>IFERROR(K22/K23,0)</f>
        <v>1.4006261053856217</v>
      </c>
    </row>
  </sheetData>
  <mergeCells count="4">
    <mergeCell ref="A1:L1"/>
    <mergeCell ref="A2:L2"/>
    <mergeCell ref="A18:K19"/>
    <mergeCell ref="A20:K20"/>
  </mergeCells>
  <pageMargins left="0.25" right="0.25" top="0.35" bottom="0.35" header="0.3" footer="0.3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20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640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'PRESUPUESTO CAJA'!C11</f>
        <v>476889.6</v>
      </c>
      <c r="D6" s="9">
        <f>'PRESUPUESTO CAJA'!D11</f>
        <v>669345.41</v>
      </c>
      <c r="E6" s="9">
        <f>'PRESUPUESTO CAJA'!E11</f>
        <v>833193.81</v>
      </c>
      <c r="F6" s="9">
        <f>'PRESUPUESTO CAJA'!F11</f>
        <v>1002622.08</v>
      </c>
      <c r="G6" s="9">
        <f>'PRESUPUESTO CAJA'!G11</f>
        <v>1052838.25</v>
      </c>
      <c r="H6" s="9">
        <f>'PRESUPUESTO CAJA'!H11</f>
        <v>1533637.07</v>
      </c>
      <c r="I6" s="9">
        <f>'PRESUPUESTO CAJA'!I11</f>
        <v>1705298.55</v>
      </c>
      <c r="J6" s="9">
        <f>'PRESUPUESTO CAJA'!J11</f>
        <v>1802174.39</v>
      </c>
      <c r="K6" s="9">
        <f>'PRESUPUESTO CAJA'!K11</f>
        <v>2329438.12</v>
      </c>
      <c r="L6" s="9">
        <f>'PRESUPUESTO CAJA'!L11</f>
        <v>2549585.64</v>
      </c>
    </row>
    <row r="7" spans="1:12" ht="18" customHeight="1">
      <c r="A7" s="5" t="s">
        <v>645</v>
      </c>
      <c r="B7" s="9">
        <f>0.0</f>
        <v>0.0</v>
      </c>
      <c r="C7" s="9">
        <f>'PRESUPUESTO CAJA'!C26</f>
        <v>526820.23</v>
      </c>
      <c r="D7" s="9">
        <f>'PRESUPUESTO CAJA'!D26</f>
        <v>661369.74</v>
      </c>
      <c r="E7" s="9">
        <f>'PRESUPUESTO CAJA'!E26</f>
        <v>765770.03</v>
      </c>
      <c r="F7" s="9">
        <f>'PRESUPUESTO CAJA'!F26</f>
        <v>866875.91</v>
      </c>
      <c r="G7" s="9">
        <f>'PRESUPUESTO CAJA'!G26</f>
        <v>917680.97</v>
      </c>
      <c r="H7" s="9">
        <f>'PRESUPUESTO CAJA'!H26</f>
        <v>1178184.79</v>
      </c>
      <c r="I7" s="9">
        <f>'PRESUPUESTO CAJA'!I26</f>
        <v>1325477.19</v>
      </c>
      <c r="J7" s="9">
        <f>'PRESUPUESTO CAJA'!J26</f>
        <v>1438502.6</v>
      </c>
      <c r="K7" s="9">
        <f>'PRESUPUESTO CAJA'!K26</f>
        <v>1645065.58</v>
      </c>
      <c r="L7" s="9">
        <f>'PRESUPUESTO CAJA'!L26</f>
        <v>1813297.39</v>
      </c>
    </row>
    <row r="8" spans="1:12" ht="18" customHeight="1">
      <c r="A8" s="5" t="s">
        <v>569</v>
      </c>
      <c r="B8" s="9">
        <f>B6-B7</f>
        <v>0.0</v>
      </c>
      <c r="C8" s="9">
        <f>C6-C7</f>
        <v>-49930.63</v>
      </c>
      <c r="D8" s="9">
        <f>D6-D7</f>
        <v>7975.66</v>
      </c>
      <c r="E8" s="9">
        <f>E6-E7</f>
        <v>67423.78</v>
      </c>
      <c r="F8" s="9">
        <f>F6-F7</f>
        <v>135746.16</v>
      </c>
      <c r="G8" s="9">
        <f>G6-G7</f>
        <v>135157.29</v>
      </c>
      <c r="H8" s="9">
        <f>H6-H7</f>
        <v>355452.28</v>
      </c>
      <c r="I8" s="9">
        <f>I6-I7</f>
        <v>379821.36</v>
      </c>
      <c r="J8" s="9">
        <f>J6-J7</f>
        <v>363671.79</v>
      </c>
      <c r="K8" s="9">
        <f>K6-K7</f>
        <v>684372.55</v>
      </c>
      <c r="L8" s="9">
        <f>L6-L7</f>
        <v>736288.25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</f>
        <v>308401.2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-'BALANCE GENERAL PROYECTADO'!L24</f>
        <v>-392780.61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-49930.63</v>
      </c>
      <c r="D13" s="8">
        <f>D5+D8+SUM(D9:D12)</f>
        <v>7975.66</v>
      </c>
      <c r="E13" s="8">
        <f>E5+E8+SUM(E9:E12)</f>
        <v>67423.78</v>
      </c>
      <c r="F13" s="8">
        <f>F5+F8+SUM(F9:F12)</f>
        <v>135746.16</v>
      </c>
      <c r="G13" s="8">
        <f>G5+G8+SUM(G9:G12)</f>
        <v>135157.29</v>
      </c>
      <c r="H13" s="8">
        <f>H5+H8+SUM(H9:H12)</f>
        <v>355452.28</v>
      </c>
      <c r="I13" s="8">
        <f>I5+I8+SUM(I9:I12)</f>
        <v>379821.36</v>
      </c>
      <c r="J13" s="8">
        <f>J5+J8+SUM(J9:J12)</f>
        <v>363671.79</v>
      </c>
      <c r="K13" s="8">
        <f>K5+K8+SUM(K9:K12)</f>
        <v>684372.55</v>
      </c>
      <c r="L13" s="8">
        <f>L5+L8+SUM(L9:L12)</f>
        <v>686908.84</v>
      </c>
    </row>
    <row r="16" spans="1:12" ht="18" customHeight="1">
      <c r="A16" s="13" t="s">
        <v>651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  <row r="17" spans="1:12" ht="18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</row>
    <row r="20" spans="1:12" ht="18" customHeight="1">
      <c r="A20" s="13" t="s">
        <v>515</v>
      </c>
      <c r="I20" s="13" t="s">
        <v>516</v>
      </c>
    </row>
  </sheetData>
  <mergeCells count="2">
    <mergeCell ref="A1:L1"/>
    <mergeCell ref="A16:L17"/>
  </mergeCells>
  <pageMargins left="0.25" right="0.25" top="0.35" bottom="0.35" header="0.3" footer="0.3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P35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30.7109375" customWidth="1"/>
    <col min="2" max="5" width="16.7109375" customWidth="1"/>
    <col min="6" max="6" width="13.28515625" customWidth="1"/>
    <col min="7" max="16" width="12.7109375" customWidth="1"/>
  </cols>
  <sheetData>
    <row r="1" spans="1:16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8" customHeight="1">
      <c r="A2" s="2" t="s">
        <v>652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18" customHeight="1">
      <c r="A4" s="4" t="s">
        <v>3</v>
      </c>
      <c r="B4" s="4" t="s">
        <v>653</v>
      </c>
      <c r="C4" s="4" t="s">
        <v>612</v>
      </c>
      <c r="D4" s="4" t="s">
        <v>654</v>
      </c>
      <c r="E4" s="4" t="s">
        <v>655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</row>
    <row r="5" spans="1:16" ht="18" customHeight="1">
      <c r="A5" s="5" t="s">
        <v>553</v>
      </c>
      <c r="B5" s="9">
        <f>'PLAN DE INVERSION'!D27</f>
        <v>120000.0</v>
      </c>
      <c r="C5" s="11">
        <f>B5/SUM($B$5:$B$6)</f>
        <v>0.4</v>
      </c>
      <c r="D5" s="11">
        <v>0.09</v>
      </c>
      <c r="E5" s="11">
        <f>C5*D5</f>
        <v>0.036</v>
      </c>
    </row>
    <row r="6" spans="1:16" ht="18" customHeight="1">
      <c r="A6" s="5" t="s">
        <v>554</v>
      </c>
      <c r="B6" s="9">
        <f>'PLAN DE INVERSION'!F27</f>
        <v>180000.0</v>
      </c>
      <c r="C6" s="11">
        <f>B6/SUM($B$5:$B$6)</f>
        <v>0.6</v>
      </c>
      <c r="D6" s="11">
        <f>'GASTOS_ADM_VTAS_FINANZAS'!B49</f>
        <v>0.18</v>
      </c>
      <c r="E6" s="11">
        <f>C6*D6</f>
        <v>0.108</v>
      </c>
    </row>
    <row r="7" spans="1:16" ht="18" customHeight="1">
      <c r="A7" s="5" t="s">
        <v>656</v>
      </c>
      <c r="E7" s="11">
        <f>SUM(E5:E6)</f>
        <v>0.144</v>
      </c>
    </row>
    <row r="8" spans="1:16" ht="18" customHeight="1">
      <c r="A8" s="5" t="s">
        <v>657</v>
      </c>
      <c r="G8" s="11">
        <f>'INGRESOS'!B32</f>
        <v>0.03</v>
      </c>
      <c r="H8" s="11">
        <f>'INGRESOS'!C32</f>
        <v>0.03</v>
      </c>
      <c r="I8" s="11">
        <f>'INGRESOS'!D32</f>
        <v>0.03</v>
      </c>
      <c r="J8" s="11">
        <f>'INGRESOS'!E32</f>
        <v>0.03</v>
      </c>
      <c r="K8" s="11">
        <f>'INGRESOS'!F32</f>
        <v>0.035</v>
      </c>
      <c r="L8" s="11">
        <f>'INGRESOS'!G32</f>
        <v>0.04</v>
      </c>
      <c r="M8" s="11">
        <f>'INGRESOS'!H32</f>
        <v>0.04</v>
      </c>
      <c r="N8" s="11">
        <f>'INGRESOS'!I32</f>
        <v>0.04</v>
      </c>
      <c r="O8" s="11">
        <f>'INGRESOS'!J32</f>
        <v>0.04</v>
      </c>
      <c r="P8" s="11">
        <f>'INGRESOS'!K32</f>
        <v>0.04</v>
      </c>
    </row>
    <row r="9" spans="1:16" ht="18" customHeight="1">
      <c r="A9" s="5" t="s">
        <v>658</v>
      </c>
      <c r="E9" s="11">
        <f>AVERAGE(G8:P8)</f>
        <v>0.0355</v>
      </c>
    </row>
    <row r="10" spans="1:16" ht="18" customHeight="1">
      <c r="A10" s="5" t="s">
        <v>659</v>
      </c>
      <c r="E10" s="11">
        <f>E7*E9</f>
        <v>0.005111999999999999</v>
      </c>
    </row>
    <row r="11" spans="1:16" ht="18" customHeight="1">
      <c r="A11" s="8" t="s">
        <v>660</v>
      </c>
      <c r="E11" s="22">
        <f>E7+E9+E10</f>
        <v>0.184612</v>
      </c>
    </row>
    <row r="14" spans="1:16" ht="18" customHeight="1">
      <c r="A14" s="3" t="s">
        <v>661</v>
      </c>
    </row>
    <row r="15" spans="1:16" ht="18" customHeight="1">
      <c r="A15" s="4" t="s">
        <v>662</v>
      </c>
      <c r="B15" s="4" t="s">
        <v>663</v>
      </c>
      <c r="C15" s="4" t="s">
        <v>664</v>
      </c>
    </row>
    <row r="16" spans="1:16" ht="18" customHeight="1">
      <c r="A16" s="5" t="s">
        <v>665</v>
      </c>
      <c r="B16" s="9">
        <f>-'FLUJO DE EFECTIVO'!B13</f>
        <v>-300000.0</v>
      </c>
      <c r="C16" s="9">
        <f>B16/((1+$E$11)^0)</f>
        <v>-300000.0</v>
      </c>
      <c r="D16" s="9">
        <f>C16</f>
        <v>-300000.0</v>
      </c>
    </row>
    <row r="17" spans="1:4" ht="18" customHeight="1">
      <c r="A17" s="5" t="s">
        <v>666</v>
      </c>
      <c r="B17" s="9">
        <f>'FLUJO DE EFECTIVO'!C13</f>
        <v>-49930.63</v>
      </c>
      <c r="C17" s="9">
        <f>B17/((1+$E$11)^1)</f>
        <v>-42149.35354360753</v>
      </c>
      <c r="D17" s="9">
        <f>D16+C17</f>
        <v>-342149.35</v>
      </c>
    </row>
    <row r="18" spans="1:4" ht="18" customHeight="1">
      <c r="A18" s="5" t="s">
        <v>667</v>
      </c>
      <c r="B18" s="9">
        <f>'FLUJO DE EFECTIVO'!D13</f>
        <v>7975.66</v>
      </c>
      <c r="C18" s="9">
        <f>B18/((1+$E$11)^2)</f>
        <v>5683.483260578758</v>
      </c>
      <c r="D18" s="9">
        <f>D17+C18</f>
        <v>-336465.87</v>
      </c>
    </row>
    <row r="19" spans="1:4" ht="18" customHeight="1">
      <c r="A19" s="5" t="s">
        <v>668</v>
      </c>
      <c r="B19" s="9">
        <f>'FLUJO DE EFECTIVO'!E13</f>
        <v>67423.78</v>
      </c>
      <c r="C19" s="9">
        <f>B19/((1+$E$11)^3)</f>
        <v>40558.76558493389</v>
      </c>
      <c r="D19" s="9">
        <f>D18+C19</f>
        <v>-295907.1</v>
      </c>
    </row>
    <row r="20" spans="1:4" ht="18" customHeight="1">
      <c r="A20" s="5" t="s">
        <v>669</v>
      </c>
      <c r="B20" s="9">
        <f>'FLUJO DE EFECTIVO'!F13</f>
        <v>135746.16</v>
      </c>
      <c r="C20" s="9">
        <f>B20/((1+$E$11)^4)</f>
        <v>68932.3450228829</v>
      </c>
      <c r="D20" s="9">
        <f>D19+C20</f>
        <v>-226974.76</v>
      </c>
    </row>
    <row r="21" spans="1:4" ht="18" customHeight="1">
      <c r="A21" s="5" t="s">
        <v>670</v>
      </c>
      <c r="B21" s="9">
        <f>'FLUJO DE EFECTIVO'!G13</f>
        <v>135157.29</v>
      </c>
      <c r="C21" s="9">
        <f>B21/((1+$E$11)^5)</f>
        <v>57937.37630539557</v>
      </c>
      <c r="D21" s="9">
        <f>D20+C21</f>
        <v>-169037.38</v>
      </c>
    </row>
    <row r="22" spans="1:4" ht="18" customHeight="1">
      <c r="A22" s="5" t="s">
        <v>671</v>
      </c>
      <c r="B22" s="9">
        <f>'FLUJO DE EFECTIVO'!H13</f>
        <v>355452.28</v>
      </c>
      <c r="C22" s="9">
        <f>B22/((1+$E$11)^6)</f>
        <v>128624.74998054435</v>
      </c>
      <c r="D22" s="9">
        <f>D21+C22</f>
        <v>-40412.63</v>
      </c>
    </row>
    <row r="23" spans="1:4" ht="18" customHeight="1">
      <c r="A23" s="5" t="s">
        <v>672</v>
      </c>
      <c r="B23" s="9">
        <f>'FLUJO DE EFECTIVO'!I13</f>
        <v>379821.36</v>
      </c>
      <c r="C23" s="9">
        <f>B23/((1+$E$11)^7)</f>
        <v>116023.64170461989</v>
      </c>
      <c r="D23" s="9">
        <f>D22+C23</f>
        <v>75611.01</v>
      </c>
    </row>
    <row r="24" spans="1:4" ht="18" customHeight="1">
      <c r="A24" s="5" t="s">
        <v>673</v>
      </c>
      <c r="B24" s="9">
        <f>'FLUJO DE EFECTIVO'!J13</f>
        <v>363671.79</v>
      </c>
      <c r="C24" s="9">
        <f>B24/((1+$E$11)^8)</f>
        <v>93777.91995465229</v>
      </c>
      <c r="D24" s="9">
        <f>D23+C24</f>
        <v>169388.93</v>
      </c>
    </row>
    <row r="25" spans="1:4" ht="18" customHeight="1">
      <c r="A25" s="5" t="s">
        <v>674</v>
      </c>
      <c r="B25" s="9">
        <f>'FLUJO DE EFECTIVO'!K13</f>
        <v>684372.55</v>
      </c>
      <c r="C25" s="9">
        <f>B25/((1+$E$11)^9)</f>
        <v>148972.95397153083</v>
      </c>
      <c r="D25" s="9">
        <f>D24+C25</f>
        <v>318361.88</v>
      </c>
    </row>
    <row r="26" spans="1:4" ht="18" customHeight="1">
      <c r="A26" s="5" t="s">
        <v>675</v>
      </c>
      <c r="B26" s="9">
        <f>'FLUJO DE EFECTIVO'!L13</f>
        <v>686908.84</v>
      </c>
      <c r="C26" s="9">
        <f>B26/((1+$E$11)^10)</f>
        <v>126222.80517023966</v>
      </c>
      <c r="D26" s="9">
        <f>D25+C26</f>
        <v>444584.69</v>
      </c>
    </row>
    <row r="28" spans="1:4" ht="18" customHeight="1">
      <c r="A28" s="8" t="s">
        <v>676</v>
      </c>
      <c r="B28" s="8">
        <f>SUM(C16:C26)</f>
        <v>444584.68741177063</v>
      </c>
    </row>
    <row r="29" spans="1:4" ht="18" customHeight="1">
      <c r="A29" s="8" t="s">
        <v>677</v>
      </c>
      <c r="B29" s="22">
        <f>IRR(B16:B26)</f>
        <v>0.3399147225835105</v>
      </c>
    </row>
    <row r="30" spans="1:4" ht="18" customHeight="1">
      <c r="A30" s="8" t="s">
        <v>678</v>
      </c>
      <c r="B30" s="7">
        <f>(B28+ABS(B16))/ABS(B16)</f>
        <v>2.4819489580392355</v>
      </c>
    </row>
    <row r="31" spans="1:4" ht="18" customHeight="1">
      <c r="A31" s="8" t="s">
        <v>679</v>
      </c>
      <c r="B31" s="7">
        <f>6+ABS(D22)/C23</f>
        <v>6.34831378153219</v>
      </c>
    </row>
    <row r="32" spans="1:4" ht="18" customHeight="1">
      <c r="A32" s="3" t="s">
        <v>680</v>
      </c>
      <c r="B32" s="12" t="str">
        <f>IF(AND(B28&gt;0,B29&gt;$E$11,B30&gt;1),"PROYECTO SE ACEPTA","PROYECTO NO VIABLE EN ESCENARIO BASE")</f>
        <v>PROYECTO SE ACEPTA</v>
      </c>
    </row>
    <row r="34" spans="1:16" ht="18" customHeight="1">
      <c r="A34" s="13" t="s">
        <v>681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</row>
    <row r="35" spans="1:16" ht="18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</sheetData>
  <mergeCells count="3">
    <mergeCell ref="A1:P1"/>
    <mergeCell ref="A2:P2"/>
    <mergeCell ref="A34:P35"/>
  </mergeCells>
  <pageMargins left="0.25" right="0.25" top="0.35" bottom="0.35" header="0.3" footer="0.3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6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'PRESUPUESTO CAJA'!C11*(1+$C$17)</f>
        <v>381511.68</v>
      </c>
      <c r="D6" s="9">
        <f>'PRESUPUESTO CAJA'!D11*(1+$C$17)</f>
        <v>535476.33</v>
      </c>
      <c r="E6" s="9">
        <f>'PRESUPUESTO CAJA'!E11*(1+$C$17)</f>
        <v>666555.05</v>
      </c>
      <c r="F6" s="9">
        <f>'PRESUPUESTO CAJA'!F11*(1+$C$17)</f>
        <v>802097.66</v>
      </c>
      <c r="G6" s="9">
        <f>'PRESUPUESTO CAJA'!G11*(1+$C$17)</f>
        <v>842270.6</v>
      </c>
      <c r="H6" s="9">
        <f>'PRESUPUESTO CAJA'!H11*(1+$C$17)</f>
        <v>1226909.66</v>
      </c>
      <c r="I6" s="9">
        <f>'PRESUPUESTO CAJA'!I11*(1+$C$17)</f>
        <v>1364238.84</v>
      </c>
      <c r="J6" s="9">
        <f>'PRESUPUESTO CAJA'!J11*(1+$C$17)</f>
        <v>1441739.51</v>
      </c>
      <c r="K6" s="9">
        <f>'PRESUPUESTO CAJA'!K11*(1+$C$17)</f>
        <v>1863550.5</v>
      </c>
      <c r="L6" s="9">
        <f>'PRESUPUESTO CAJA'!L11*(1+$C$17)</f>
        <v>2039668.51</v>
      </c>
    </row>
    <row r="7" spans="1:12" ht="18" customHeight="1">
      <c r="A7" s="5" t="s">
        <v>645</v>
      </c>
      <c r="B7" s="9">
        <f>0.0</f>
        <v>0.0</v>
      </c>
      <c r="C7" s="9">
        <f>'PLANILLA'!B6+SUM('COSTOS'!B67:B71)*1+(('COSTOS'!B27+'COSTOS'!B40)*1+'COSTOS'!B47*(1+$C$17)*1)*'COSTOS'!$B$126+(('COSTOS'!B27+'COSTOS'!B40)*1+'COSTOS'!B47*(1+$C$17)*1)*'COSTOS'!$B$127*'COSTOS'!$B$128+0*'COSTOS'!$B$127*(1-'COSTOS'!$B$128)+'GASTOS_ADM_VTAS_FINANZAS'!B12+'GASTOS_ADM_VTAS_FINANZAS'!B13*1+'GASTOS_ADM_VTAS_FINANZAS'!B5+'GASTOS_ADM_VTAS_FINANZAS'!B7*1+'GASTOS_ADM_VTAS_FINANZAS'!B6*(1+$C$17)*1+0+'GASTOS_ADM_VTAS_FINANZAS'!B20+'GASTOS_ADM_VTAS_FINANZAS'!B21</f>
        <v>520931.59</v>
      </c>
      <c r="D7" s="9">
        <f>'PLANILLA'!C6+SUM('COSTOS'!C67:C71)*1+(('COSTOS'!C27+'COSTOS'!C40)*1+'COSTOS'!C47*(1+$C$17)*1)*'COSTOS'!$B$126+(('COSTOS'!C27+'COSTOS'!C40)*1+'COSTOS'!C47*(1+$C$17)*1)*'COSTOS'!$B$127*'COSTOS'!$B$128+(('COSTOS'!B27+'COSTOS'!B40)*1+'COSTOS'!B47*(1+$C$17)*1)*'COSTOS'!$B$127*(1-'COSTOS'!$B$128)+'GASTOS_ADM_VTAS_FINANZAS'!C12+'GASTOS_ADM_VTAS_FINANZAS'!C13*1+'GASTOS_ADM_VTAS_FINANZAS'!C5+'GASTOS_ADM_VTAS_FINANZAS'!C7*1+'GASTOS_ADM_VTAS_FINANZAS'!C6*(1+$C$17)*1+MAX(0,('INGRESOS'!B19*(1+$C$17)-((('COSTOS'!B27+'COSTOS'!B40)*1+'COSTOS'!B47*(1+$C$17)*1)+'PLANILLA'!B6+SUM('COSTOS'!B67:B71)*1+'COSTOS'!B72)-('GASTOS_ADM_VTAS_FINANZAS'!B12+'GASTOS_ADM_VTAS_FINANZAS'!B13*1+'GASTOS_ADM_VTAS_FINANZAS'!B14+'GASTOS_ADM_VTAS_FINANZAS'!B5+'GASTOS_ADM_VTAS_FINANZAS'!B7*1+'GASTOS_ADM_VTAS_FINANZAS'!B6*(1+$C$17)*1)-'GASTOS_ADM_VTAS_FINANZAS'!B20))*'ESTADO DE RESULTADOS'!$B$23+'GASTOS_ADM_VTAS_FINANZAS'!C20+'GASTOS_ADM_VTAS_FINANZAS'!C21</f>
        <v>654288.76</v>
      </c>
      <c r="E7" s="9">
        <f>'PLANILLA'!D6+SUM('COSTOS'!D67:D71)*1+(('COSTOS'!D27+'COSTOS'!D40)*1+'COSTOS'!D47*(1+$C$17)*1)*'COSTOS'!$B$126+(('COSTOS'!D27+'COSTOS'!D40)*1+'COSTOS'!D47*(1+$C$17)*1)*'COSTOS'!$B$127*'COSTOS'!$B$128+(('COSTOS'!C27+'COSTOS'!C40)*1+'COSTOS'!C47*(1+$C$17)*1)*'COSTOS'!$B$127*(1-'COSTOS'!$B$128)+'GASTOS_ADM_VTAS_FINANZAS'!D12+'GASTOS_ADM_VTAS_FINANZAS'!D13*1+'GASTOS_ADM_VTAS_FINANZAS'!D5+'GASTOS_ADM_VTAS_FINANZAS'!D7*1+'GASTOS_ADM_VTAS_FINANZAS'!D6*(1+$C$17)*1+MAX(0,('INGRESOS'!C19*(1+$C$17)-((('COSTOS'!C27+'COSTOS'!C40)*1+'COSTOS'!C47*(1+$C$17)*1)+'PLANILLA'!C6+SUM('COSTOS'!C67:C71)*1+'COSTOS'!C72)-('GASTOS_ADM_VTAS_FINANZAS'!C12+'GASTOS_ADM_VTAS_FINANZAS'!C13*1+'GASTOS_ADM_VTAS_FINANZAS'!C14+'GASTOS_ADM_VTAS_FINANZAS'!C5+'GASTOS_ADM_VTAS_FINANZAS'!C7*1+'GASTOS_ADM_VTAS_FINANZAS'!C6*(1+$C$17)*1)-'GASTOS_ADM_VTAS_FINANZAS'!C20))*'ESTADO DE RESULTADOS'!$B$23+'GASTOS_ADM_VTAS_FINANZAS'!D20+'GASTOS_ADM_VTAS_FINANZAS'!D21</f>
        <v>757683.59</v>
      </c>
      <c r="F7" s="9">
        <f>'PLANILLA'!E6+SUM('COSTOS'!E67:E71)*1+(('COSTOS'!E27+'COSTOS'!E40)*1+'COSTOS'!E47*(1+$C$17)*1)*'COSTOS'!$B$126+(('COSTOS'!E27+'COSTOS'!E40)*1+'COSTOS'!E47*(1+$C$17)*1)*'COSTOS'!$B$127*'COSTOS'!$B$128+(('COSTOS'!D27+'COSTOS'!D40)*1+'COSTOS'!D47*(1+$C$17)*1)*'COSTOS'!$B$127*(1-'COSTOS'!$B$128)+'GASTOS_ADM_VTAS_FINANZAS'!E12+'GASTOS_ADM_VTAS_FINANZAS'!E13*1+'GASTOS_ADM_VTAS_FINANZAS'!E5+'GASTOS_ADM_VTAS_FINANZAS'!E7*1+'GASTOS_ADM_VTAS_FINANZAS'!E6*(1+$C$17)*1+MAX(0,('INGRESOS'!D19*(1+$C$17)-((('COSTOS'!D27+'COSTOS'!D40)*1+'COSTOS'!D47*(1+$C$17)*1)+'PLANILLA'!D6+SUM('COSTOS'!D67:D71)*1+'COSTOS'!D72)-('GASTOS_ADM_VTAS_FINANZAS'!D12+'GASTOS_ADM_VTAS_FINANZAS'!D13*1+'GASTOS_ADM_VTAS_FINANZAS'!D14+'GASTOS_ADM_VTAS_FINANZAS'!D5+'GASTOS_ADM_VTAS_FINANZAS'!D7*1+'GASTOS_ADM_VTAS_FINANZAS'!D6*(1+$C$17)*1)-'GASTOS_ADM_VTAS_FINANZAS'!D20))*'ESTADO DE RESULTADOS'!$B$23+'GASTOS_ADM_VTAS_FINANZAS'!E20+'GASTOS_ADM_VTAS_FINANZAS'!E21</f>
        <v>842871.58</v>
      </c>
      <c r="G7" s="9">
        <f>'PLANILLA'!F6+SUM('COSTOS'!F67:F71)*1+(('COSTOS'!F27+'COSTOS'!F40)*1+'COSTOS'!F47*(1+$C$17)*1)*'COSTOS'!$B$126+(('COSTOS'!F27+'COSTOS'!F40)*1+'COSTOS'!F47*(1+$C$17)*1)*'COSTOS'!$B$127*'COSTOS'!$B$128+(('COSTOS'!E27+'COSTOS'!E40)*1+'COSTOS'!E47*(1+$C$17)*1)*'COSTOS'!$B$127*(1-'COSTOS'!$B$128)+'GASTOS_ADM_VTAS_FINANZAS'!F12+'GASTOS_ADM_VTAS_FINANZAS'!F13*1+'GASTOS_ADM_VTAS_FINANZAS'!F5+'GASTOS_ADM_VTAS_FINANZAS'!F7*1+'GASTOS_ADM_VTAS_FINANZAS'!F6*(1+$C$17)*1+MAX(0,('INGRESOS'!E19*(1+$C$17)-((('COSTOS'!E27+'COSTOS'!E40)*1+'COSTOS'!E47*(1+$C$17)*1)+'PLANILLA'!E6+SUM('COSTOS'!E67:E71)*1+'COSTOS'!E72)-('GASTOS_ADM_VTAS_FINANZAS'!E12+'GASTOS_ADM_VTAS_FINANZAS'!E13*1+'GASTOS_ADM_VTAS_FINANZAS'!E14+'GASTOS_ADM_VTAS_FINANZAS'!E5+'GASTOS_ADM_VTAS_FINANZAS'!E7*1+'GASTOS_ADM_VTAS_FINANZAS'!E6*(1+$C$17)*1)-'GASTOS_ADM_VTAS_FINANZAS'!E20))*'ESTADO DE RESULTADOS'!$B$23+'GASTOS_ADM_VTAS_FINANZAS'!F20+'GASTOS_ADM_VTAS_FINANZAS'!F21</f>
        <v>868493.99</v>
      </c>
      <c r="H7" s="9">
        <f>'PLANILLA'!G6+SUM('COSTOS'!G67:G71)*1+(('COSTOS'!G27+'COSTOS'!G40)*1+'COSTOS'!G47*(1+$C$17)*1)*'COSTOS'!$B$126+(('COSTOS'!G27+'COSTOS'!G40)*1+'COSTOS'!G47*(1+$C$17)*1)*'COSTOS'!$B$127*'COSTOS'!$B$128+(('COSTOS'!F27+'COSTOS'!F40)*1+'COSTOS'!F47*(1+$C$17)*1)*'COSTOS'!$B$127*(1-'COSTOS'!$B$128)+'GASTOS_ADM_VTAS_FINANZAS'!G12+'GASTOS_ADM_VTAS_FINANZAS'!G13*1+'GASTOS_ADM_VTAS_FINANZAS'!G5+'GASTOS_ADM_VTAS_FINANZAS'!G7*1+'GASTOS_ADM_VTAS_FINANZAS'!G6*(1+$C$17)*1+MAX(0,('INGRESOS'!F19*(1+$C$17)-((('COSTOS'!F27+'COSTOS'!F40)*1+'COSTOS'!F47*(1+$C$17)*1)+'PLANILLA'!F6+SUM('COSTOS'!F67:F71)*1+'COSTOS'!F72)-('GASTOS_ADM_VTAS_FINANZAS'!F12+'GASTOS_ADM_VTAS_FINANZAS'!F13*1+'GASTOS_ADM_VTAS_FINANZAS'!F14+'GASTOS_ADM_VTAS_FINANZAS'!F5+'GASTOS_ADM_VTAS_FINANZAS'!F7*1+'GASTOS_ADM_VTAS_FINANZAS'!F6*(1+$C$17)*1)-'GASTOS_ADM_VTAS_FINANZAS'!F20))*'ESTADO DE RESULTADOS'!$B$23+'GASTOS_ADM_VTAS_FINANZAS'!G20+'GASTOS_ADM_VTAS_FINANZAS'!G21</f>
        <v>1114662.35</v>
      </c>
      <c r="I7" s="9">
        <f>'PLANILLA'!H6+SUM('COSTOS'!H67:H71)*1+(('COSTOS'!H27+'COSTOS'!H40)*1+'COSTOS'!H47*(1+$C$17)*1)*'COSTOS'!$B$126+(('COSTOS'!H27+'COSTOS'!H40)*1+'COSTOS'!H47*(1+$C$17)*1)*'COSTOS'!$B$127*'COSTOS'!$B$128+(('COSTOS'!G27+'COSTOS'!G40)*1+'COSTOS'!G47*(1+$C$17)*1)*'COSTOS'!$B$127*(1-'COSTOS'!$B$128)+'GASTOS_ADM_VTAS_FINANZAS'!H12+'GASTOS_ADM_VTAS_FINANZAS'!H13*1+'GASTOS_ADM_VTAS_FINANZAS'!H5+'GASTOS_ADM_VTAS_FINANZAS'!H7*1+'GASTOS_ADM_VTAS_FINANZAS'!H6*(1+$C$17)*1+MAX(0,('INGRESOS'!G19*(1+$C$17)-((('COSTOS'!G27+'COSTOS'!G40)*1+'COSTOS'!G47*(1+$C$17)*1)+'PLANILLA'!G6+SUM('COSTOS'!G67:G71)*1+'COSTOS'!G72)-('GASTOS_ADM_VTAS_FINANZAS'!G12+'GASTOS_ADM_VTAS_FINANZAS'!G13*1+'GASTOS_ADM_VTAS_FINANZAS'!G14+'GASTOS_ADM_VTAS_FINANZAS'!G5+'GASTOS_ADM_VTAS_FINANZAS'!G7*1+'GASTOS_ADM_VTAS_FINANZAS'!G6*(1+$C$17)*1)-'GASTOS_ADM_VTAS_FINANZAS'!G20))*'ESTADO DE RESULTADOS'!$B$23+'GASTOS_ADM_VTAS_FINANZAS'!H20+'GASTOS_ADM_VTAS_FINANZAS'!H21</f>
        <v>1221584.11</v>
      </c>
      <c r="J7" s="9">
        <f>'PLANILLA'!I6+SUM('COSTOS'!I67:I71)*1+(('COSTOS'!I27+'COSTOS'!I40)*1+'COSTOS'!I47*(1+$C$17)*1)*'COSTOS'!$B$126+(('COSTOS'!I27+'COSTOS'!I40)*1+'COSTOS'!I47*(1+$C$17)*1)*'COSTOS'!$B$127*'COSTOS'!$B$128+(('COSTOS'!H27+'COSTOS'!H40)*1+'COSTOS'!H47*(1+$C$17)*1)*'COSTOS'!$B$127*(1-'COSTOS'!$B$128)+'GASTOS_ADM_VTAS_FINANZAS'!I12+'GASTOS_ADM_VTAS_FINANZAS'!I13*1+'GASTOS_ADM_VTAS_FINANZAS'!I5+'GASTOS_ADM_VTAS_FINANZAS'!I7*1+'GASTOS_ADM_VTAS_FINANZAS'!I6*(1+$C$17)*1+MAX(0,('INGRESOS'!H19*(1+$C$17)-((('COSTOS'!H27+'COSTOS'!H40)*1+'COSTOS'!H47*(1+$C$17)*1)+'PLANILLA'!H6+SUM('COSTOS'!H67:H71)*1+'COSTOS'!H72)-('GASTOS_ADM_VTAS_FINANZAS'!H12+'GASTOS_ADM_VTAS_FINANZAS'!H13*1+'GASTOS_ADM_VTAS_FINANZAS'!H14+'GASTOS_ADM_VTAS_FINANZAS'!H5+'GASTOS_ADM_VTAS_FINANZAS'!H7*1+'GASTOS_ADM_VTAS_FINANZAS'!H6*(1+$C$17)*1)-'GASTOS_ADM_VTAS_FINANZAS'!H20))*'ESTADO DE RESULTADOS'!$B$23+'GASTOS_ADM_VTAS_FINANZAS'!I20+'GASTOS_ADM_VTAS_FINANZAS'!I21</f>
        <v>1327803.44</v>
      </c>
      <c r="K7" s="9">
        <f>'PLANILLA'!J6+SUM('COSTOS'!J67:J71)*1+(('COSTOS'!J27+'COSTOS'!J40)*1+'COSTOS'!J47*(1+$C$17)*1)*'COSTOS'!$B$126+(('COSTOS'!J27+'COSTOS'!J40)*1+'COSTOS'!J47*(1+$C$17)*1)*'COSTOS'!$B$127*'COSTOS'!$B$128+(('COSTOS'!I27+'COSTOS'!I40)*1+'COSTOS'!I47*(1+$C$17)*1)*'COSTOS'!$B$127*(1-'COSTOS'!$B$128)+'GASTOS_ADM_VTAS_FINANZAS'!J12+'GASTOS_ADM_VTAS_FINANZAS'!J13*1+'GASTOS_ADM_VTAS_FINANZAS'!J5+'GASTOS_ADM_VTAS_FINANZAS'!J7*1+'GASTOS_ADM_VTAS_FINANZAS'!J6*(1+$C$17)*1+MAX(0,('INGRESOS'!I19*(1+$C$17)-((('COSTOS'!I27+'COSTOS'!I40)*1+'COSTOS'!I47*(1+$C$17)*1)+'PLANILLA'!I6+SUM('COSTOS'!I67:I71)*1+'COSTOS'!I72)-('GASTOS_ADM_VTAS_FINANZAS'!I12+'GASTOS_ADM_VTAS_FINANZAS'!I13*1+'GASTOS_ADM_VTAS_FINANZAS'!I14+'GASTOS_ADM_VTAS_FINANZAS'!I5+'GASTOS_ADM_VTAS_FINANZAS'!I7*1+'GASTOS_ADM_VTAS_FINANZAS'!I6*(1+$C$17)*1)-'GASTOS_ADM_VTAS_FINANZAS'!I20))*'ESTADO DE RESULTADOS'!$B$23+'GASTOS_ADM_VTAS_FINANZAS'!J20+'GASTOS_ADM_VTAS_FINANZAS'!J21</f>
        <v>1523657.08</v>
      </c>
      <c r="L7" s="9">
        <f>'PLANILLA'!K6+SUM('COSTOS'!K67:K71)*1+(('COSTOS'!K27+'COSTOS'!K40)*1+'COSTOS'!K47*(1+$C$17)*1)*'COSTOS'!$B$126+(('COSTOS'!K27+'COSTOS'!K40)*1+'COSTOS'!K47*(1+$C$17)*1)*'COSTOS'!$B$127*'COSTOS'!$B$128+(('COSTOS'!J27+'COSTOS'!J40)*1+'COSTOS'!J47*(1+$C$17)*1)*'COSTOS'!$B$127*(1-'COSTOS'!$B$128)+'GASTOS_ADM_VTAS_FINANZAS'!K12+'GASTOS_ADM_VTAS_FINANZAS'!K13*1+'GASTOS_ADM_VTAS_FINANZAS'!K5+'GASTOS_ADM_VTAS_FINANZAS'!K7*1+'GASTOS_ADM_VTAS_FINANZAS'!K6*(1+$C$17)*1+MAX(0,('INGRESOS'!J19*(1+$C$17)-((('COSTOS'!J27+'COSTOS'!J40)*1+'COSTOS'!J47*(1+$C$17)*1)+'PLANILLA'!J6+SUM('COSTOS'!J67:J71)*1+'COSTOS'!J72)-('GASTOS_ADM_VTAS_FINANZAS'!J12+'GASTOS_ADM_VTAS_FINANZAS'!J13*1+'GASTOS_ADM_VTAS_FINANZAS'!J14+'GASTOS_ADM_VTAS_FINANZAS'!J5+'GASTOS_ADM_VTAS_FINANZAS'!J7*1+'GASTOS_ADM_VTAS_FINANZAS'!J6*(1+$C$17)*1)-'GASTOS_ADM_VTAS_FINANZAS'!J20))*'ESTADO DE RESULTADOS'!$B$23+'GASTOS_ADM_VTAS_FINANZAS'!K20+'GASTOS_ADM_VTAS_FINANZAS'!K21</f>
        <v>1658585.44</v>
      </c>
    </row>
    <row r="8" spans="1:12" ht="18" customHeight="1">
      <c r="A8" s="5" t="s">
        <v>569</v>
      </c>
      <c r="B8" s="9">
        <f>B6-B7</f>
        <v>0.0</v>
      </c>
      <c r="C8" s="9">
        <f>C6-C7</f>
        <v>-139419.91</v>
      </c>
      <c r="D8" s="9">
        <f>D6-D7</f>
        <v>-118812.44</v>
      </c>
      <c r="E8" s="9">
        <f>E6-E7</f>
        <v>-91128.54</v>
      </c>
      <c r="F8" s="9">
        <f>F6-F7</f>
        <v>-40773.92</v>
      </c>
      <c r="G8" s="9">
        <f>G6-G7</f>
        <v>-26223.38</v>
      </c>
      <c r="H8" s="9">
        <f>H6-H7</f>
        <v>112247.31</v>
      </c>
      <c r="I8" s="9">
        <f>I6-I7</f>
        <v>142654.73</v>
      </c>
      <c r="J8" s="9">
        <f>J6-J7</f>
        <v>113936.07</v>
      </c>
      <c r="K8" s="9">
        <f>K6-K7</f>
        <v>339893.41</v>
      </c>
      <c r="L8" s="9">
        <f>L6-L7</f>
        <v>381083.07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PROYECTADO'!L7*(1+$C$17)</f>
        <v>246720.96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((('COSTOS'!K27+'COSTOS'!K40)*1+'COSTOS'!K47*(1+$C$17)*1)*'COSTOS'!$B$127*(1-'COSTOS'!$B$128)+MAX(0,('INGRESOS'!K19*(1+$C$17)-((('COSTOS'!K27+'COSTOS'!K40)*1+'COSTOS'!K47*(1+$C$17)*1)+'PLANILLA'!K6+SUM('COSTOS'!K67:K71)*1+'COSTOS'!K72)-('GASTOS_ADM_VTAS_FINANZAS'!K12+'GASTOS_ADM_VTAS_FINANZAS'!K13*1+'GASTOS_ADM_VTAS_FINANZAS'!K14+'GASTOS_ADM_VTAS_FINANZAS'!K5+'GASTOS_ADM_VTAS_FINANZAS'!K7*1+'GASTOS_ADM_VTAS_FINANZAS'!K6*(1+$C$17)*1)-'GASTOS_ADM_VTAS_FINANZAS'!K20))*'ESTADO DE RESULTADOS'!$B$23)</f>
        <v>-246014.61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-139419.91</v>
      </c>
      <c r="D13" s="8">
        <f>D5+D8+SUM(D9:D12)</f>
        <v>-118812.44</v>
      </c>
      <c r="E13" s="8">
        <f>E5+E8+SUM(E9:E12)</f>
        <v>-91128.54</v>
      </c>
      <c r="F13" s="8">
        <f>F5+F8+SUM(F9:F12)</f>
        <v>-40773.92</v>
      </c>
      <c r="G13" s="8">
        <f>G5+G8+SUM(G9:G12)</f>
        <v>-26223.38</v>
      </c>
      <c r="H13" s="8">
        <f>H5+H8+SUM(H9:H12)</f>
        <v>112247.31</v>
      </c>
      <c r="I13" s="8">
        <f>I5+I8+SUM(I9:I12)</f>
        <v>142654.73</v>
      </c>
      <c r="J13" s="8">
        <f>J5+J8+SUM(J9:J12)</f>
        <v>113936.07</v>
      </c>
      <c r="K13" s="8">
        <f>K5+K8+SUM(K9:K12)</f>
        <v>339893.41</v>
      </c>
      <c r="L13" s="8">
        <f>L5+L8+SUM(L9:L12)</f>
        <v>416789.43</v>
      </c>
    </row>
    <row r="16" spans="1:12" ht="18" customHeight="1">
      <c r="A16" s="3" t="s">
        <v>683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8" customHeight="1">
      <c r="A17" s="5" t="s">
        <v>684</v>
      </c>
      <c r="B17" s="12" t="s">
        <v>685</v>
      </c>
      <c r="C17" s="11">
        <v>-0.2</v>
      </c>
    </row>
    <row r="18" spans="1:12" ht="18" customHeight="1">
      <c r="A18" s="5" t="s">
        <v>686</v>
      </c>
      <c r="B18" s="11">
        <f>('PLAN DE INVERSION'!D27/'PLAN DE INVERSION'!C27)*'COSTO CAPITAL VAN TIR IR'!D5+('PLAN DE INVERSION'!F27/'PLAN DE INVERSION'!C27)*'GASTOS_ADM_VTAS_FINANZAS'!B49</f>
        <v>0.144</v>
      </c>
    </row>
    <row r="19" spans="1:12" ht="18" customHeight="1">
      <c r="A19" s="5" t="s">
        <v>658</v>
      </c>
      <c r="B19" s="11">
        <f>'COSTO CAPITAL VAN TIR IR'!E9</f>
        <v>0.0355</v>
      </c>
    </row>
    <row r="20" spans="1:12" ht="18" customHeight="1">
      <c r="A20" s="5" t="s">
        <v>659</v>
      </c>
      <c r="B20" s="11">
        <f>B18*B19</f>
        <v>0.005111999999999999</v>
      </c>
    </row>
    <row r="21" spans="1:12" ht="18" customHeight="1">
      <c r="A21" s="8" t="s">
        <v>660</v>
      </c>
      <c r="B21" s="22">
        <f>SUM(B18:B20)</f>
        <v>0.184612</v>
      </c>
    </row>
    <row r="23" spans="1:12" ht="18" customHeight="1">
      <c r="A23" s="4" t="s">
        <v>3</v>
      </c>
      <c r="B23" s="4" t="s">
        <v>551</v>
      </c>
      <c r="C23" s="4" t="s">
        <v>4</v>
      </c>
      <c r="D23" s="4" t="s">
        <v>5</v>
      </c>
      <c r="E23" s="4" t="s">
        <v>6</v>
      </c>
      <c r="F23" s="4" t="s">
        <v>7</v>
      </c>
      <c r="G23" s="4" t="s">
        <v>8</v>
      </c>
      <c r="H23" s="4" t="s">
        <v>9</v>
      </c>
      <c r="I23" s="4" t="s">
        <v>10</v>
      </c>
      <c r="J23" s="4" t="s">
        <v>11</v>
      </c>
      <c r="K23" s="4" t="s">
        <v>12</v>
      </c>
      <c r="L23" s="4" t="s">
        <v>13</v>
      </c>
    </row>
    <row r="24" spans="1:12" ht="18" customHeight="1">
      <c r="A24" s="5" t="s">
        <v>687</v>
      </c>
      <c r="B24" s="9">
        <f>-B5</f>
        <v>-300000.0</v>
      </c>
      <c r="C24" s="9">
        <f>C13</f>
        <v>-139419.91</v>
      </c>
      <c r="D24" s="9">
        <f>D13</f>
        <v>-118812.44</v>
      </c>
      <c r="E24" s="9">
        <f>E13</f>
        <v>-91128.54</v>
      </c>
      <c r="F24" s="9">
        <f>F13</f>
        <v>-40773.92</v>
      </c>
      <c r="G24" s="9">
        <f>G13</f>
        <v>-26223.38</v>
      </c>
      <c r="H24" s="9">
        <f>H13</f>
        <v>112247.31</v>
      </c>
      <c r="I24" s="9">
        <f>I13</f>
        <v>142654.73</v>
      </c>
      <c r="J24" s="9">
        <f>J13</f>
        <v>113936.07</v>
      </c>
      <c r="K24" s="9">
        <f>K13</f>
        <v>339893.41</v>
      </c>
      <c r="L24" s="9">
        <f>L13</f>
        <v>416789.43</v>
      </c>
    </row>
    <row r="25" spans="1:12" ht="18" customHeight="1">
      <c r="A25" s="5" t="s">
        <v>663</v>
      </c>
      <c r="B25" s="9">
        <f>B24/((1+B21)^0)</f>
        <v>-300000.0</v>
      </c>
      <c r="C25" s="9">
        <f>C24/((1+B21)^1)</f>
        <v>-117692.47</v>
      </c>
      <c r="D25" s="9">
        <f>D24/((1+B21)^2)</f>
        <v>-84666.12</v>
      </c>
      <c r="E25" s="9">
        <f>E24/((1+B21)^3)</f>
        <v>-54818.36</v>
      </c>
      <c r="F25" s="9">
        <f>F24/((1+B21)^4)</f>
        <v>-20705.13</v>
      </c>
      <c r="G25" s="9">
        <f>G24/((1+B21)^5)</f>
        <v>-11241.08</v>
      </c>
      <c r="H25" s="9">
        <f>H24/((1+B21)^6)</f>
        <v>40618.06</v>
      </c>
      <c r="I25" s="9">
        <f>I24/((1+B21)^7)</f>
        <v>43576.59</v>
      </c>
      <c r="J25" s="9">
        <f>J24/((1+B21)^8)</f>
        <v>29380.03</v>
      </c>
      <c r="K25" s="9">
        <f>K24/((1+B21)^9)</f>
        <v>73987.37</v>
      </c>
      <c r="L25" s="9">
        <f>L24/((1+B21)^10)</f>
        <v>76587.06</v>
      </c>
    </row>
    <row r="27" spans="1:12" ht="18" customHeight="1">
      <c r="A27" s="8" t="s">
        <v>688</v>
      </c>
      <c r="B27" s="8">
        <f>SUM(B25:L25)</f>
        <v>-324974.0393518305</v>
      </c>
    </row>
    <row r="28" spans="1:12" ht="18" customHeight="1">
      <c r="A28" s="8" t="s">
        <v>689</v>
      </c>
      <c r="B28" s="22">
        <f>IRR(B24:L24)</f>
        <v>0.06292498388506951</v>
      </c>
    </row>
    <row r="29" spans="1:12" ht="18" customHeight="1">
      <c r="A29" s="8" t="s">
        <v>678</v>
      </c>
      <c r="B29" s="7">
        <f>(B27+ABS(B24))/ABS(B24)</f>
        <v>-0.08324679783943498</v>
      </c>
    </row>
    <row r="30" spans="1:12" ht="18" customHeight="1">
      <c r="A30" s="3" t="s">
        <v>680</v>
      </c>
      <c r="B30" s="12" t="str">
        <f>IF(AND(B27&gt;0,B28&gt;B21,B29&gt;1),"PROYECTO SE ACEPTA","PROYECTO NO VIABLE EN ESTE ESCENARIO")</f>
        <v>PROYECTO NO VIABLE EN ESTE ESCENARIO</v>
      </c>
    </row>
    <row r="32" spans="1:12" ht="18" customHeight="1">
      <c r="A32" s="13" t="s">
        <v>690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8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6" spans="1:12" ht="18" customHeight="1">
      <c r="A36" s="13" t="s">
        <v>515</v>
      </c>
      <c r="I36" s="13" t="s">
        <v>516</v>
      </c>
    </row>
  </sheetData>
  <mergeCells count="3">
    <mergeCell ref="A1:L1"/>
    <mergeCell ref="A16:L16"/>
    <mergeCell ref="A32:L33"/>
  </mergeCells>
  <pageMargins left="0.25" right="0.25" top="0.35" bottom="0.35" header="0.3" footer="0.3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6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691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'PRESUPUESTO CAJA'!C11</f>
        <v>476889.6</v>
      </c>
      <c r="D6" s="9">
        <f>'PRESUPUESTO CAJA'!D11</f>
        <v>669345.41</v>
      </c>
      <c r="E6" s="9">
        <f>'PRESUPUESTO CAJA'!E11</f>
        <v>833193.81</v>
      </c>
      <c r="F6" s="9">
        <f>'PRESUPUESTO CAJA'!F11</f>
        <v>1002622.08</v>
      </c>
      <c r="G6" s="9">
        <f>'PRESUPUESTO CAJA'!G11</f>
        <v>1052838.25</v>
      </c>
      <c r="H6" s="9">
        <f>'PRESUPUESTO CAJA'!H11</f>
        <v>1533637.07</v>
      </c>
      <c r="I6" s="9">
        <f>'PRESUPUESTO CAJA'!I11</f>
        <v>1705298.55</v>
      </c>
      <c r="J6" s="9">
        <f>'PRESUPUESTO CAJA'!J11</f>
        <v>1802174.39</v>
      </c>
      <c r="K6" s="9">
        <f>'PRESUPUESTO CAJA'!K11</f>
        <v>2329438.12</v>
      </c>
      <c r="L6" s="9">
        <f>'PRESUPUESTO CAJA'!L11</f>
        <v>2549585.64</v>
      </c>
    </row>
    <row r="7" spans="1:12" ht="18" customHeight="1">
      <c r="A7" s="5" t="s">
        <v>645</v>
      </c>
      <c r="B7" s="9">
        <f>0.0</f>
        <v>0.0</v>
      </c>
      <c r="C7" s="9">
        <f>'PLANILLA'!B6+SUM('COSTOS'!B67:B71)*(1+$C$17)+(('COSTOS'!B27+'COSTOS'!B40)*(1+$C$17)+'COSTOS'!B47*1*(1+$C$17))*'COSTOS'!$B$126+(('COSTOS'!B27+'COSTOS'!B40)*(1+$C$17)+'COSTOS'!B47*1*(1+$C$17))*'COSTOS'!$B$127*'COSTOS'!$B$128+0*'COSTOS'!$B$127*(1-'COSTOS'!$B$128)+'GASTOS_ADM_VTAS_FINANZAS'!B12+'GASTOS_ADM_VTAS_FINANZAS'!B13*(1+$C$17)+'GASTOS_ADM_VTAS_FINANZAS'!B5+'GASTOS_ADM_VTAS_FINANZAS'!B7*(1+$C$17)+'GASTOS_ADM_VTAS_FINANZAS'!B6*1*(1+$C$17)+0+'GASTOS_ADM_VTAS_FINANZAS'!B20+'GASTOS_ADM_VTAS_FINANZAS'!B21</f>
        <v>576262.25</v>
      </c>
      <c r="D7" s="9">
        <f>'PLANILLA'!C6+SUM('COSTOS'!C67:C71)*(1+$C$17)+(('COSTOS'!C27+'COSTOS'!C40)*(1+$C$17)+'COSTOS'!C47*1*(1+$C$17))*'COSTOS'!$B$126+(('COSTOS'!C27+'COSTOS'!C40)*(1+$C$17)+'COSTOS'!C47*1*(1+$C$17))*'COSTOS'!$B$127*'COSTOS'!$B$128+(('COSTOS'!B27+'COSTOS'!B40)*(1+$C$17)+'COSTOS'!B47*1*(1+$C$17))*'COSTOS'!$B$127*(1-'COSTOS'!$B$128)+'GASTOS_ADM_VTAS_FINANZAS'!C12+'GASTOS_ADM_VTAS_FINANZAS'!C13*(1+$C$17)+'GASTOS_ADM_VTAS_FINANZAS'!C5+'GASTOS_ADM_VTAS_FINANZAS'!C7*(1+$C$17)+'GASTOS_ADM_VTAS_FINANZAS'!C6*1*(1+$C$17)+MAX(0,('INGRESOS'!B19*1-((('COSTOS'!B27+'COSTOS'!B40)*(1+$C$17)+'COSTOS'!B47*1*(1+$C$17))+'PLANILLA'!B6+SUM('COSTOS'!B67:B71)*(1+$C$17)+'COSTOS'!B72)-('GASTOS_ADM_VTAS_FINANZAS'!B12+'GASTOS_ADM_VTAS_FINANZAS'!B13*(1+$C$17)+'GASTOS_ADM_VTAS_FINANZAS'!B14+'GASTOS_ADM_VTAS_FINANZAS'!B5+'GASTOS_ADM_VTAS_FINANZAS'!B7*(1+$C$17)+'GASTOS_ADM_VTAS_FINANZAS'!B6*1*(1+$C$17))-'GASTOS_ADM_VTAS_FINANZAS'!B20))*'ESTADO DE RESULTADOS'!$B$23+'GASTOS_ADM_VTAS_FINANZAS'!C20+'GASTOS_ADM_VTAS_FINANZAS'!C21</f>
        <v>724266.72</v>
      </c>
      <c r="E7" s="9">
        <f>'PLANILLA'!D6+SUM('COSTOS'!D67:D71)*(1+$C$17)+(('COSTOS'!D27+'COSTOS'!D40)*(1+$C$17)+'COSTOS'!D47*1*(1+$C$17))*'COSTOS'!$B$126+(('COSTOS'!D27+'COSTOS'!D40)*(1+$C$17)+'COSTOS'!D47*1*(1+$C$17))*'COSTOS'!$B$127*'COSTOS'!$B$128+(('COSTOS'!C27+'COSTOS'!C40)*(1+$C$17)+'COSTOS'!C47*1*(1+$C$17))*'COSTOS'!$B$127*(1-'COSTOS'!$B$128)+'GASTOS_ADM_VTAS_FINANZAS'!D12+'GASTOS_ADM_VTAS_FINANZAS'!D13*(1+$C$17)+'GASTOS_ADM_VTAS_FINANZAS'!D5+'GASTOS_ADM_VTAS_FINANZAS'!D7*(1+$C$17)+'GASTOS_ADM_VTAS_FINANZAS'!D6*1*(1+$C$17)+MAX(0,('INGRESOS'!C19*1-((('COSTOS'!C27+'COSTOS'!C40)*(1+$C$17)+'COSTOS'!C47*1*(1+$C$17))+'PLANILLA'!C6+SUM('COSTOS'!C67:C71)*(1+$C$17)+'COSTOS'!C72)-('GASTOS_ADM_VTAS_FINANZAS'!C12+'GASTOS_ADM_VTAS_FINANZAS'!C13*(1+$C$17)+'GASTOS_ADM_VTAS_FINANZAS'!C14+'GASTOS_ADM_VTAS_FINANZAS'!C5+'GASTOS_ADM_VTAS_FINANZAS'!C7*(1+$C$17)+'GASTOS_ADM_VTAS_FINANZAS'!C6*1*(1+$C$17))-'GASTOS_ADM_VTAS_FINANZAS'!C20))*'ESTADO DE RESULTADOS'!$B$23+'GASTOS_ADM_VTAS_FINANZAS'!D20+'GASTOS_ADM_VTAS_FINANZAS'!D21</f>
        <v>837200.65</v>
      </c>
      <c r="F7" s="9">
        <f>'PLANILLA'!E6+SUM('COSTOS'!E67:E71)*(1+$C$17)+(('COSTOS'!E27+'COSTOS'!E40)*(1+$C$17)+'COSTOS'!E47*1*(1+$C$17))*'COSTOS'!$B$126+(('COSTOS'!E27+'COSTOS'!E40)*(1+$C$17)+'COSTOS'!E47*1*(1+$C$17))*'COSTOS'!$B$127*'COSTOS'!$B$128+(('COSTOS'!D27+'COSTOS'!D40)*(1+$C$17)+'COSTOS'!D47*1*(1+$C$17))*'COSTOS'!$B$127*(1-'COSTOS'!$B$128)+'GASTOS_ADM_VTAS_FINANZAS'!E12+'GASTOS_ADM_VTAS_FINANZAS'!E13*(1+$C$17)+'GASTOS_ADM_VTAS_FINANZAS'!E5+'GASTOS_ADM_VTAS_FINANZAS'!E7*(1+$C$17)+'GASTOS_ADM_VTAS_FINANZAS'!E6*1*(1+$C$17)+MAX(0,('INGRESOS'!D19*1-((('COSTOS'!D27+'COSTOS'!D40)*(1+$C$17)+'COSTOS'!D47*1*(1+$C$17))+'PLANILLA'!D6+SUM('COSTOS'!D67:D71)*(1+$C$17)+'COSTOS'!D72)-('GASTOS_ADM_VTAS_FINANZAS'!D12+'GASTOS_ADM_VTAS_FINANZAS'!D13*(1+$C$17)+'GASTOS_ADM_VTAS_FINANZAS'!D14+'GASTOS_ADM_VTAS_FINANZAS'!D5+'GASTOS_ADM_VTAS_FINANZAS'!D7*(1+$C$17)+'GASTOS_ADM_VTAS_FINANZAS'!D6*1*(1+$C$17))-'GASTOS_ADM_VTAS_FINANZAS'!D20))*'ESTADO DE RESULTADOS'!$B$23+'GASTOS_ADM_VTAS_FINANZAS'!E20+'GASTOS_ADM_VTAS_FINANZAS'!E21</f>
        <v>931975.84</v>
      </c>
      <c r="G7" s="9">
        <f>'PLANILLA'!F6+SUM('COSTOS'!F67:F71)*(1+$C$17)+(('COSTOS'!F27+'COSTOS'!F40)*(1+$C$17)+'COSTOS'!F47*1*(1+$C$17))*'COSTOS'!$B$126+(('COSTOS'!F27+'COSTOS'!F40)*(1+$C$17)+'COSTOS'!F47*1*(1+$C$17))*'COSTOS'!$B$127*'COSTOS'!$B$128+(('COSTOS'!E27+'COSTOS'!E40)*(1+$C$17)+'COSTOS'!E47*1*(1+$C$17))*'COSTOS'!$B$127*(1-'COSTOS'!$B$128)+'GASTOS_ADM_VTAS_FINANZAS'!F12+'GASTOS_ADM_VTAS_FINANZAS'!F13*(1+$C$17)+'GASTOS_ADM_VTAS_FINANZAS'!F5+'GASTOS_ADM_VTAS_FINANZAS'!F7*(1+$C$17)+'GASTOS_ADM_VTAS_FINANZAS'!F6*1*(1+$C$17)+MAX(0,('INGRESOS'!E19*1-((('COSTOS'!E27+'COSTOS'!E40)*(1+$C$17)+'COSTOS'!E47*1*(1+$C$17))+'PLANILLA'!E6+SUM('COSTOS'!E67:E71)*(1+$C$17)+'COSTOS'!E72)-('GASTOS_ADM_VTAS_FINANZAS'!E12+'GASTOS_ADM_VTAS_FINANZAS'!E13*(1+$C$17)+'GASTOS_ADM_VTAS_FINANZAS'!E14+'GASTOS_ADM_VTAS_FINANZAS'!E5+'GASTOS_ADM_VTAS_FINANZAS'!E7*(1+$C$17)+'GASTOS_ADM_VTAS_FINANZAS'!E6*1*(1+$C$17))-'GASTOS_ADM_VTAS_FINANZAS'!E20))*'ESTADO DE RESULTADOS'!$B$23+'GASTOS_ADM_VTAS_FINANZAS'!F20+'GASTOS_ADM_VTAS_FINANZAS'!F21</f>
        <v>976464.25</v>
      </c>
      <c r="H7" s="9">
        <f>'PLANILLA'!G6+SUM('COSTOS'!G67:G71)*(1+$C$17)+(('COSTOS'!G27+'COSTOS'!G40)*(1+$C$17)+'COSTOS'!G47*1*(1+$C$17))*'COSTOS'!$B$126+(('COSTOS'!G27+'COSTOS'!G40)*(1+$C$17)+'COSTOS'!G47*1*(1+$C$17))*'COSTOS'!$B$127*'COSTOS'!$B$128+(('COSTOS'!F27+'COSTOS'!F40)*(1+$C$17)+'COSTOS'!F47*1*(1+$C$17))*'COSTOS'!$B$127*(1-'COSTOS'!$B$128)+'GASTOS_ADM_VTAS_FINANZAS'!G12+'GASTOS_ADM_VTAS_FINANZAS'!G13*(1+$C$17)+'GASTOS_ADM_VTAS_FINANZAS'!G5+'GASTOS_ADM_VTAS_FINANZAS'!G7*(1+$C$17)+'GASTOS_ADM_VTAS_FINANZAS'!G6*1*(1+$C$17)+MAX(0,('INGRESOS'!F19*1-((('COSTOS'!F27+'COSTOS'!F40)*(1+$C$17)+'COSTOS'!F47*1*(1+$C$17))+'PLANILLA'!F6+SUM('COSTOS'!F67:F71)*(1+$C$17)+'COSTOS'!F72)-('GASTOS_ADM_VTAS_FINANZAS'!F12+'GASTOS_ADM_VTAS_FINANZAS'!F13*(1+$C$17)+'GASTOS_ADM_VTAS_FINANZAS'!F14+'GASTOS_ADM_VTAS_FINANZAS'!F5+'GASTOS_ADM_VTAS_FINANZAS'!F7*(1+$C$17)+'GASTOS_ADM_VTAS_FINANZAS'!F6*1*(1+$C$17))-'GASTOS_ADM_VTAS_FINANZAS'!F20))*'ESTADO DE RESULTADOS'!$B$23+'GASTOS_ADM_VTAS_FINANZAS'!G20+'GASTOS_ADM_VTAS_FINANZAS'!G21</f>
        <v>1261548.36</v>
      </c>
      <c r="I7" s="9">
        <f>'PLANILLA'!H6+SUM('COSTOS'!H67:H71)*(1+$C$17)+(('COSTOS'!H27+'COSTOS'!H40)*(1+$C$17)+'COSTOS'!H47*1*(1+$C$17))*'COSTOS'!$B$126+(('COSTOS'!H27+'COSTOS'!H40)*(1+$C$17)+'COSTOS'!H47*1*(1+$C$17))*'COSTOS'!$B$127*'COSTOS'!$B$128+(('COSTOS'!G27+'COSTOS'!G40)*(1+$C$17)+'COSTOS'!G47*1*(1+$C$17))*'COSTOS'!$B$127*(1-'COSTOS'!$B$128)+'GASTOS_ADM_VTAS_FINANZAS'!H12+'GASTOS_ADM_VTAS_FINANZAS'!H13*(1+$C$17)+'GASTOS_ADM_VTAS_FINANZAS'!H5+'GASTOS_ADM_VTAS_FINANZAS'!H7*(1+$C$17)+'GASTOS_ADM_VTAS_FINANZAS'!H6*1*(1+$C$17)+MAX(0,('INGRESOS'!G19*1-((('COSTOS'!G27+'COSTOS'!G40)*(1+$C$17)+'COSTOS'!G47*1*(1+$C$17))+'PLANILLA'!G6+SUM('COSTOS'!G67:G71)*(1+$C$17)+'COSTOS'!G72)-('GASTOS_ADM_VTAS_FINANZAS'!G12+'GASTOS_ADM_VTAS_FINANZAS'!G13*(1+$C$17)+'GASTOS_ADM_VTAS_FINANZAS'!G14+'GASTOS_ADM_VTAS_FINANZAS'!G5+'GASTOS_ADM_VTAS_FINANZAS'!G7*(1+$C$17)+'GASTOS_ADM_VTAS_FINANZAS'!G6*1*(1+$C$17))-'GASTOS_ADM_VTAS_FINANZAS'!G20))*'ESTADO DE RESULTADOS'!$B$23+'GASTOS_ADM_VTAS_FINANZAS'!H20+'GASTOS_ADM_VTAS_FINANZAS'!H21</f>
        <v>1406365.21</v>
      </c>
      <c r="J7" s="9">
        <f>'PLANILLA'!I6+SUM('COSTOS'!I67:I71)*(1+$C$17)+(('COSTOS'!I27+'COSTOS'!I40)*(1+$C$17)+'COSTOS'!I47*1*(1+$C$17))*'COSTOS'!$B$126+(('COSTOS'!I27+'COSTOS'!I40)*(1+$C$17)+'COSTOS'!I47*1*(1+$C$17))*'COSTOS'!$B$127*'COSTOS'!$B$128+(('COSTOS'!H27+'COSTOS'!H40)*(1+$C$17)+'COSTOS'!H47*1*(1+$C$17))*'COSTOS'!$B$127*(1-'COSTOS'!$B$128)+'GASTOS_ADM_VTAS_FINANZAS'!I12+'GASTOS_ADM_VTAS_FINANZAS'!I13*(1+$C$17)+'GASTOS_ADM_VTAS_FINANZAS'!I5+'GASTOS_ADM_VTAS_FINANZAS'!I7*(1+$C$17)+'GASTOS_ADM_VTAS_FINANZAS'!I6*1*(1+$C$17)+MAX(0,('INGRESOS'!H19*1-((('COSTOS'!H27+'COSTOS'!H40)*(1+$C$17)+'COSTOS'!H47*1*(1+$C$17))+'PLANILLA'!H6+SUM('COSTOS'!H67:H71)*(1+$C$17)+'COSTOS'!H72)-('GASTOS_ADM_VTAS_FINANZAS'!H12+'GASTOS_ADM_VTAS_FINANZAS'!H13*(1+$C$17)+'GASTOS_ADM_VTAS_FINANZAS'!H14+'GASTOS_ADM_VTAS_FINANZAS'!H5+'GASTOS_ADM_VTAS_FINANZAS'!H7*(1+$C$17)+'GASTOS_ADM_VTAS_FINANZAS'!H6*1*(1+$C$17))-'GASTOS_ADM_VTAS_FINANZAS'!H20))*'ESTADO DE RESULTADOS'!$B$23+'GASTOS_ADM_VTAS_FINANZAS'!I20+'GASTOS_ADM_VTAS_FINANZAS'!I21</f>
        <v>1526951.55</v>
      </c>
      <c r="K7" s="9">
        <f>'PLANILLA'!J6+SUM('COSTOS'!J67:J71)*(1+$C$17)+(('COSTOS'!J27+'COSTOS'!J40)*(1+$C$17)+'COSTOS'!J47*1*(1+$C$17))*'COSTOS'!$B$126+(('COSTOS'!J27+'COSTOS'!J40)*(1+$C$17)+'COSTOS'!J47*1*(1+$C$17))*'COSTOS'!$B$127*'COSTOS'!$B$128+(('COSTOS'!I27+'COSTOS'!I40)*(1+$C$17)+'COSTOS'!I47*1*(1+$C$17))*'COSTOS'!$B$127*(1-'COSTOS'!$B$128)+'GASTOS_ADM_VTAS_FINANZAS'!J12+'GASTOS_ADM_VTAS_FINANZAS'!J13*(1+$C$17)+'GASTOS_ADM_VTAS_FINANZAS'!J5+'GASTOS_ADM_VTAS_FINANZAS'!J7*(1+$C$17)+'GASTOS_ADM_VTAS_FINANZAS'!J6*1*(1+$C$17)+MAX(0,('INGRESOS'!I19*1-((('COSTOS'!I27+'COSTOS'!I40)*(1+$C$17)+'COSTOS'!I47*1*(1+$C$17))+'PLANILLA'!I6+SUM('COSTOS'!I67:I71)*(1+$C$17)+'COSTOS'!I72)-('GASTOS_ADM_VTAS_FINANZAS'!I12+'GASTOS_ADM_VTAS_FINANZAS'!I13*(1+$C$17)+'GASTOS_ADM_VTAS_FINANZAS'!I14+'GASTOS_ADM_VTAS_FINANZAS'!I5+'GASTOS_ADM_VTAS_FINANZAS'!I7*(1+$C$17)+'GASTOS_ADM_VTAS_FINANZAS'!I6*1*(1+$C$17))-'GASTOS_ADM_VTAS_FINANZAS'!I20))*'ESTADO DE RESULTADOS'!$B$23+'GASTOS_ADM_VTAS_FINANZAS'!J20+'GASTOS_ADM_VTAS_FINANZAS'!J21</f>
        <v>1756360.95</v>
      </c>
      <c r="L7" s="9">
        <f>'PLANILLA'!K6+SUM('COSTOS'!K67:K71)*(1+$C$17)+(('COSTOS'!K27+'COSTOS'!K40)*(1+$C$17)+'COSTOS'!K47*1*(1+$C$17))*'COSTOS'!$B$126+(('COSTOS'!K27+'COSTOS'!K40)*(1+$C$17)+'COSTOS'!K47*1*(1+$C$17))*'COSTOS'!$B$127*'COSTOS'!$B$128+(('COSTOS'!J27+'COSTOS'!J40)*(1+$C$17)+'COSTOS'!J47*1*(1+$C$17))*'COSTOS'!$B$127*(1-'COSTOS'!$B$128)+'GASTOS_ADM_VTAS_FINANZAS'!K12+'GASTOS_ADM_VTAS_FINANZAS'!K13*(1+$C$17)+'GASTOS_ADM_VTAS_FINANZAS'!K5+'GASTOS_ADM_VTAS_FINANZAS'!K7*(1+$C$17)+'GASTOS_ADM_VTAS_FINANZAS'!K6*1*(1+$C$17)+MAX(0,('INGRESOS'!J19*1-((('COSTOS'!J27+'COSTOS'!J40)*(1+$C$17)+'COSTOS'!J47*1*(1+$C$17))+'PLANILLA'!J6+SUM('COSTOS'!J67:J71)*(1+$C$17)+'COSTOS'!J72)-('GASTOS_ADM_VTAS_FINANZAS'!J12+'GASTOS_ADM_VTAS_FINANZAS'!J13*(1+$C$17)+'GASTOS_ADM_VTAS_FINANZAS'!J14+'GASTOS_ADM_VTAS_FINANZAS'!J5+'GASTOS_ADM_VTAS_FINANZAS'!J7*(1+$C$17)+'GASTOS_ADM_VTAS_FINANZAS'!J6*1*(1+$C$17))-'GASTOS_ADM_VTAS_FINANZAS'!J20))*'ESTADO DE RESULTADOS'!$B$23+'GASTOS_ADM_VTAS_FINANZAS'!K20+'GASTOS_ADM_VTAS_FINANZAS'!K21</f>
        <v>1923885.4</v>
      </c>
    </row>
    <row r="8" spans="1:12" ht="18" customHeight="1">
      <c r="A8" s="5" t="s">
        <v>569</v>
      </c>
      <c r="B8" s="9">
        <f>B6-B7</f>
        <v>0.0</v>
      </c>
      <c r="C8" s="9">
        <f>C6-C7</f>
        <v>-99372.65</v>
      </c>
      <c r="D8" s="9">
        <f>D6-D7</f>
        <v>-54921.31</v>
      </c>
      <c r="E8" s="9">
        <f>E6-E7</f>
        <v>-4006.84</v>
      </c>
      <c r="F8" s="9">
        <f>F6-F7</f>
        <v>70646.24</v>
      </c>
      <c r="G8" s="9">
        <f>G6-G7</f>
        <v>76374.01</v>
      </c>
      <c r="H8" s="9">
        <f>H6-H7</f>
        <v>272088.72</v>
      </c>
      <c r="I8" s="9">
        <f>I6-I7</f>
        <v>298933.34</v>
      </c>
      <c r="J8" s="9">
        <f>J6-J7</f>
        <v>275222.84</v>
      </c>
      <c r="K8" s="9">
        <f>K6-K7</f>
        <v>573077.18</v>
      </c>
      <c r="L8" s="9">
        <f>L6-L7</f>
        <v>625700.24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</f>
        <v>308401.2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((('COSTOS'!K27+'COSTOS'!K40)*(1+$C$17)+'COSTOS'!K47*1*(1+$C$17))*'COSTOS'!$B$127*(1-'COSTOS'!$B$128)+MAX(0,('INGRESOS'!K19*1-((('COSTOS'!K27+'COSTOS'!K40)*(1+$C$17)+'COSTOS'!K47*1*(1+$C$17))+'PLANILLA'!K6+SUM('COSTOS'!K67:K71)*(1+$C$17)+'COSTOS'!K72)-('GASTOS_ADM_VTAS_FINANZAS'!K12+'GASTOS_ADM_VTAS_FINANZAS'!K13*(1+$C$17)+'GASTOS_ADM_VTAS_FINANZAS'!K14+'GASTOS_ADM_VTAS_FINANZAS'!K5+'GASTOS_ADM_VTAS_FINANZAS'!K7*(1+$C$17)+'GASTOS_ADM_VTAS_FINANZAS'!K6*1*(1+$C$17))-'GASTOS_ADM_VTAS_FINANZAS'!K20))*'ESTADO DE RESULTADOS'!$B$23)</f>
        <v>-356295.95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-99372.65</v>
      </c>
      <c r="D13" s="8">
        <f>D5+D8+SUM(D9:D12)</f>
        <v>-54921.31</v>
      </c>
      <c r="E13" s="8">
        <f>E5+E8+SUM(E9:E12)</f>
        <v>-4006.84</v>
      </c>
      <c r="F13" s="8">
        <f>F5+F8+SUM(F9:F12)</f>
        <v>70646.24</v>
      </c>
      <c r="G13" s="8">
        <f>G5+G8+SUM(G9:G12)</f>
        <v>76374.01</v>
      </c>
      <c r="H13" s="8">
        <f>H5+H8+SUM(H9:H12)</f>
        <v>272088.72</v>
      </c>
      <c r="I13" s="8">
        <f>I5+I8+SUM(I9:I12)</f>
        <v>298933.34</v>
      </c>
      <c r="J13" s="8">
        <f>J5+J8+SUM(J9:J12)</f>
        <v>275222.84</v>
      </c>
      <c r="K13" s="8">
        <f>K5+K8+SUM(K9:K12)</f>
        <v>573077.18</v>
      </c>
      <c r="L13" s="8">
        <f>L5+L8+SUM(L9:L12)</f>
        <v>612805.5</v>
      </c>
    </row>
    <row r="16" spans="1:12" ht="18" customHeight="1">
      <c r="A16" s="3" t="s">
        <v>683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8" customHeight="1">
      <c r="A17" s="5" t="s">
        <v>684</v>
      </c>
      <c r="B17" s="12" t="s">
        <v>692</v>
      </c>
      <c r="C17" s="11">
        <v>0.1</v>
      </c>
    </row>
    <row r="18" spans="1:12" ht="18" customHeight="1">
      <c r="A18" s="5" t="s">
        <v>686</v>
      </c>
      <c r="B18" s="11">
        <f>('PLAN DE INVERSION'!D27/'PLAN DE INVERSION'!C27)*'COSTO CAPITAL VAN TIR IR'!D5+('PLAN DE INVERSION'!F27/'PLAN DE INVERSION'!C27)*'GASTOS_ADM_VTAS_FINANZAS'!B49</f>
        <v>0.144</v>
      </c>
    </row>
    <row r="19" spans="1:12" ht="18" customHeight="1">
      <c r="A19" s="5" t="s">
        <v>658</v>
      </c>
      <c r="B19" s="11">
        <f>'COSTO CAPITAL VAN TIR IR'!E9</f>
        <v>0.0355</v>
      </c>
    </row>
    <row r="20" spans="1:12" ht="18" customHeight="1">
      <c r="A20" s="5" t="s">
        <v>659</v>
      </c>
      <c r="B20" s="11">
        <f>B18*B19</f>
        <v>0.005111999999999999</v>
      </c>
    </row>
    <row r="21" spans="1:12" ht="18" customHeight="1">
      <c r="A21" s="8" t="s">
        <v>660</v>
      </c>
      <c r="B21" s="22">
        <f>SUM(B18:B20)</f>
        <v>0.184612</v>
      </c>
    </row>
    <row r="23" spans="1:12" ht="18" customHeight="1">
      <c r="A23" s="4" t="s">
        <v>3</v>
      </c>
      <c r="B23" s="4" t="s">
        <v>551</v>
      </c>
      <c r="C23" s="4" t="s">
        <v>4</v>
      </c>
      <c r="D23" s="4" t="s">
        <v>5</v>
      </c>
      <c r="E23" s="4" t="s">
        <v>6</v>
      </c>
      <c r="F23" s="4" t="s">
        <v>7</v>
      </c>
      <c r="G23" s="4" t="s">
        <v>8</v>
      </c>
      <c r="H23" s="4" t="s">
        <v>9</v>
      </c>
      <c r="I23" s="4" t="s">
        <v>10</v>
      </c>
      <c r="J23" s="4" t="s">
        <v>11</v>
      </c>
      <c r="K23" s="4" t="s">
        <v>12</v>
      </c>
      <c r="L23" s="4" t="s">
        <v>13</v>
      </c>
    </row>
    <row r="24" spans="1:12" ht="18" customHeight="1">
      <c r="A24" s="5" t="s">
        <v>687</v>
      </c>
      <c r="B24" s="9">
        <f>-B5</f>
        <v>-300000.0</v>
      </c>
      <c r="C24" s="9">
        <f>C13</f>
        <v>-99372.65</v>
      </c>
      <c r="D24" s="9">
        <f>D13</f>
        <v>-54921.31</v>
      </c>
      <c r="E24" s="9">
        <f>E13</f>
        <v>-4006.84</v>
      </c>
      <c r="F24" s="9">
        <f>F13</f>
        <v>70646.24</v>
      </c>
      <c r="G24" s="9">
        <f>G13</f>
        <v>76374.01</v>
      </c>
      <c r="H24" s="9">
        <f>H13</f>
        <v>272088.72</v>
      </c>
      <c r="I24" s="9">
        <f>I13</f>
        <v>298933.34</v>
      </c>
      <c r="J24" s="9">
        <f>J13</f>
        <v>275222.84</v>
      </c>
      <c r="K24" s="9">
        <f>K13</f>
        <v>573077.18</v>
      </c>
      <c r="L24" s="9">
        <f>L13</f>
        <v>612805.5</v>
      </c>
    </row>
    <row r="25" spans="1:12" ht="18" customHeight="1">
      <c r="A25" s="5" t="s">
        <v>663</v>
      </c>
      <c r="B25" s="9">
        <f>B24/((1+B21)^0)</f>
        <v>-300000.0</v>
      </c>
      <c r="C25" s="9">
        <f>C24/((1+B21)^1)</f>
        <v>-83886.25</v>
      </c>
      <c r="D25" s="9">
        <f>D24/((1+B21)^2)</f>
        <v>-39137.1</v>
      </c>
      <c r="E25" s="9">
        <f>E24/((1+B21)^3)</f>
        <v>-2410.31</v>
      </c>
      <c r="F25" s="9">
        <f>F24/((1+B21)^4)</f>
        <v>35874.39</v>
      </c>
      <c r="G25" s="9">
        <f>G24/((1+B21)^5)</f>
        <v>32738.96</v>
      </c>
      <c r="H25" s="9">
        <f>H24/((1+B21)^6)</f>
        <v>98458.62</v>
      </c>
      <c r="I25" s="9">
        <f>I24/((1+B21)^7)</f>
        <v>91314.86</v>
      </c>
      <c r="J25" s="9">
        <f>J24/((1+B21)^8)</f>
        <v>70970.11</v>
      </c>
      <c r="K25" s="9">
        <f>K24/((1+B21)^9)</f>
        <v>124746.38</v>
      </c>
      <c r="L25" s="9">
        <f>L24/((1+B21)^10)</f>
        <v>112605.96</v>
      </c>
    </row>
    <row r="27" spans="1:12" ht="18" customHeight="1">
      <c r="A27" s="8" t="s">
        <v>688</v>
      </c>
      <c r="B27" s="8">
        <f>SUM(B25:L25)</f>
        <v>141275.62844177292</v>
      </c>
    </row>
    <row r="28" spans="1:12" ht="18" customHeight="1">
      <c r="A28" s="8" t="s">
        <v>689</v>
      </c>
      <c r="B28" s="22">
        <f>IRR(B24:L24)</f>
        <v>0.23255650133528938</v>
      </c>
    </row>
    <row r="29" spans="1:12" ht="18" customHeight="1">
      <c r="A29" s="8" t="s">
        <v>678</v>
      </c>
      <c r="B29" s="7">
        <f>(B27+ABS(B24))/ABS(B24)</f>
        <v>1.4709187614725763</v>
      </c>
    </row>
    <row r="30" spans="1:12" ht="18" customHeight="1">
      <c r="A30" s="3" t="s">
        <v>680</v>
      </c>
      <c r="B30" s="12" t="str">
        <f>IF(AND(B27&gt;0,B28&gt;B21,B29&gt;1),"PROYECTO SE ACEPTA","PROYECTO NO VIABLE EN ESTE ESCENARIO")</f>
        <v>PROYECTO SE ACEPTA</v>
      </c>
    </row>
    <row r="32" spans="1:12" ht="18" customHeight="1">
      <c r="A32" s="13" t="s">
        <v>690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8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6" spans="1:12" ht="18" customHeight="1">
      <c r="A36" s="13" t="s">
        <v>515</v>
      </c>
      <c r="I36" s="13" t="s">
        <v>516</v>
      </c>
    </row>
  </sheetData>
  <mergeCells count="3">
    <mergeCell ref="A1:L1"/>
    <mergeCell ref="A16:L16"/>
    <mergeCell ref="A32:L33"/>
  </mergeCells>
  <pageMargins left="0.25" right="0.25" top="0.35" bottom="0.35" header="0.3" footer="0.3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43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693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'PRESUPUESTO CAJA'!C11</f>
        <v>476889.6</v>
      </c>
      <c r="D6" s="9">
        <f>'PRESUPUESTO CAJA'!D11</f>
        <v>669345.41</v>
      </c>
      <c r="E6" s="9">
        <f>'PRESUPUESTO CAJA'!E11</f>
        <v>833193.81</v>
      </c>
      <c r="F6" s="9">
        <f>'PRESUPUESTO CAJA'!F11</f>
        <v>1002622.08</v>
      </c>
      <c r="G6" s="9">
        <f>'PRESUPUESTO CAJA'!G11</f>
        <v>1052838.25</v>
      </c>
      <c r="H6" s="9">
        <f>'PRESUPUESTO CAJA'!H11</f>
        <v>1533637.07</v>
      </c>
      <c r="I6" s="9">
        <f>'PRESUPUESTO CAJA'!I11</f>
        <v>1705298.55</v>
      </c>
      <c r="J6" s="9">
        <f>'PRESUPUESTO CAJA'!J11</f>
        <v>1802174.39</v>
      </c>
      <c r="K6" s="9">
        <f>'PRESUPUESTO CAJA'!K11</f>
        <v>2329438.12</v>
      </c>
      <c r="L6" s="9">
        <f>'PRESUPUESTO CAJA'!L11</f>
        <v>2549585.64</v>
      </c>
    </row>
    <row r="7" spans="1:12" ht="18" customHeight="1">
      <c r="A7" s="5" t="s">
        <v>645</v>
      </c>
      <c r="B7" s="9">
        <f>0.0</f>
        <v>0.0</v>
      </c>
      <c r="C7" s="9">
        <f>'PLANILLA'!B6+SUM('COSTOS'!B67:B71)*1+(('COSTOS'!B27+'COSTOS'!B40)*1+'COSTOS'!B47*1*1)*'COSTOS'!$B$126+(('COSTOS'!B27+'COSTOS'!B40)*1+'COSTOS'!B47*1*1)*'COSTOS'!$B$127*'COSTOS'!$B$128+0*'COSTOS'!$B$127*(1-'COSTOS'!$B$128)+'GASTOS_ADM_VTAS_FINANZAS'!B12+'GASTOS_ADM_VTAS_FINANZAS'!B13*1+'GASTOS_ADM_VTAS_FINANZAS'!B5+'GASTOS_ADM_VTAS_FINANZAS'!B7*1+'GASTOS_ADM_VTAS_FINANZAS'!B6*1*1+0+B41+B42</f>
        <v>537620.23</v>
      </c>
      <c r="D7" s="9">
        <f>'PLANILLA'!C6+SUM('COSTOS'!C67:C71)*1+(('COSTOS'!C27+'COSTOS'!C40)*1+'COSTOS'!C47*1*1)*'COSTOS'!$B$126+(('COSTOS'!C27+'COSTOS'!C40)*1+'COSTOS'!C47*1*1)*'COSTOS'!$B$127*'COSTOS'!$B$128+(('COSTOS'!B27+'COSTOS'!B40)*1+'COSTOS'!B47*1*1)*'COSTOS'!$B$127*(1-'COSTOS'!$B$128)+'GASTOS_ADM_VTAS_FINANZAS'!C12+'GASTOS_ADM_VTAS_FINANZAS'!C13*1+'GASTOS_ADM_VTAS_FINANZAS'!C5+'GASTOS_ADM_VTAS_FINANZAS'!C7*1+'GASTOS_ADM_VTAS_FINANZAS'!C6*1*1+MAX(0,('INGRESOS'!B19*1-((('COSTOS'!B27+'COSTOS'!B40)*1+'COSTOS'!B47*1*1)+'PLANILLA'!B6+SUM('COSTOS'!B67:B71)*1+'COSTOS'!B72)-('GASTOS_ADM_VTAS_FINANZAS'!B12+'GASTOS_ADM_VTAS_FINANZAS'!B13*1+'GASTOS_ADM_VTAS_FINANZAS'!B14+'GASTOS_ADM_VTAS_FINANZAS'!B5+'GASTOS_ADM_VTAS_FINANZAS'!B7*1+'GASTOS_ADM_VTAS_FINANZAS'!B6*1*1)-B41))*'ESTADO DE RESULTADOS'!$B$23+C41+C42</f>
        <v>672169.74</v>
      </c>
      <c r="E7" s="9">
        <f>'PLANILLA'!D6+SUM('COSTOS'!D67:D71)*1+(('COSTOS'!D27+'COSTOS'!D40)*1+'COSTOS'!D47*1*1)*'COSTOS'!$B$126+(('COSTOS'!D27+'COSTOS'!D40)*1+'COSTOS'!D47*1*1)*'COSTOS'!$B$127*'COSTOS'!$B$128+(('COSTOS'!C27+'COSTOS'!C40)*1+'COSTOS'!C47*1*1)*'COSTOS'!$B$127*(1-'COSTOS'!$B$128)+'GASTOS_ADM_VTAS_FINANZAS'!D12+'GASTOS_ADM_VTAS_FINANZAS'!D13*1+'GASTOS_ADM_VTAS_FINANZAS'!D5+'GASTOS_ADM_VTAS_FINANZAS'!D7*1+'GASTOS_ADM_VTAS_FINANZAS'!D6*1*1+MAX(0,('INGRESOS'!C19*1-((('COSTOS'!C27+'COSTOS'!C40)*1+'COSTOS'!C47*1*1)+'PLANILLA'!C6+SUM('COSTOS'!C67:C71)*1+'COSTOS'!C72)-('GASTOS_ADM_VTAS_FINANZAS'!C12+'GASTOS_ADM_VTAS_FINANZAS'!C13*1+'GASTOS_ADM_VTAS_FINANZAS'!C14+'GASTOS_ADM_VTAS_FINANZAS'!C5+'GASTOS_ADM_VTAS_FINANZAS'!C7*1+'GASTOS_ADM_VTAS_FINANZAS'!C6*1*1)-C41))*'ESTADO DE RESULTADOS'!$B$23+D41+D42</f>
        <v>773899.55</v>
      </c>
      <c r="F7" s="9">
        <f>'PLANILLA'!E6+SUM('COSTOS'!E67:E71)*1+(('COSTOS'!E27+'COSTOS'!E40)*1+'COSTOS'!E47*1*1)*'COSTOS'!$B$126+(('COSTOS'!E27+'COSTOS'!E40)*1+'COSTOS'!E47*1*1)*'COSTOS'!$B$127*'COSTOS'!$B$128+(('COSTOS'!D27+'COSTOS'!D40)*1+'COSTOS'!D47*1*1)*'COSTOS'!$B$127*(1-'COSTOS'!$B$128)+'GASTOS_ADM_VTAS_FINANZAS'!E12+'GASTOS_ADM_VTAS_FINANZAS'!E13*1+'GASTOS_ADM_VTAS_FINANZAS'!E5+'GASTOS_ADM_VTAS_FINANZAS'!E7*1+'GASTOS_ADM_VTAS_FINANZAS'!E6*1*1+MAX(0,('INGRESOS'!D19*1-((('COSTOS'!D27+'COSTOS'!D40)*1+'COSTOS'!D47*1*1)+'PLANILLA'!D6+SUM('COSTOS'!D67:D71)*1+'COSTOS'!D72)-('GASTOS_ADM_VTAS_FINANZAS'!D12+'GASTOS_ADM_VTAS_FINANZAS'!D13*1+'GASTOS_ADM_VTAS_FINANZAS'!D14+'GASTOS_ADM_VTAS_FINANZAS'!D5+'GASTOS_ADM_VTAS_FINANZAS'!D7*1+'GASTOS_ADM_VTAS_FINANZAS'!D6*1*1)-D41))*'ESTADO DE RESULTADOS'!$B$23+E41+E42</f>
        <v>871819.44</v>
      </c>
      <c r="G7" s="9">
        <f>'PLANILLA'!F6+SUM('COSTOS'!F67:F71)*1+(('COSTOS'!F27+'COSTOS'!F40)*1+'COSTOS'!F47*1*1)*'COSTOS'!$B$126+(('COSTOS'!F27+'COSTOS'!F40)*1+'COSTOS'!F47*1*1)*'COSTOS'!$B$127*'COSTOS'!$B$128+(('COSTOS'!E27+'COSTOS'!E40)*1+'COSTOS'!E47*1*1)*'COSTOS'!$B$127*(1-'COSTOS'!$B$128)+'GASTOS_ADM_VTAS_FINANZAS'!F12+'GASTOS_ADM_VTAS_FINANZAS'!F13*1+'GASTOS_ADM_VTAS_FINANZAS'!F5+'GASTOS_ADM_VTAS_FINANZAS'!F7*1+'GASTOS_ADM_VTAS_FINANZAS'!F6*1*1+MAX(0,('INGRESOS'!E19*1-((('COSTOS'!E27+'COSTOS'!E40)*1+'COSTOS'!E47*1*1)+'PLANILLA'!E6+SUM('COSTOS'!E67:E71)*1+'COSTOS'!E72)-('GASTOS_ADM_VTAS_FINANZAS'!E12+'GASTOS_ADM_VTAS_FINANZAS'!E13*1+'GASTOS_ADM_VTAS_FINANZAS'!E14+'GASTOS_ADM_VTAS_FINANZAS'!E5+'GASTOS_ADM_VTAS_FINANZAS'!E7*1+'GASTOS_ADM_VTAS_FINANZAS'!E6*1*1)-E41))*'ESTADO DE RESULTADOS'!$B$23+F41+F42</f>
        <v>922772.85</v>
      </c>
      <c r="H7" s="9">
        <f>'PLANILLA'!G6+SUM('COSTOS'!G67:G71)*1+(('COSTOS'!G27+'COSTOS'!G40)*1+'COSTOS'!G47*1*1)*'COSTOS'!$B$126+(('COSTOS'!G27+'COSTOS'!G40)*1+'COSTOS'!G47*1*1)*'COSTOS'!$B$127*'COSTOS'!$B$128+(('COSTOS'!F27+'COSTOS'!F40)*1+'COSTOS'!F47*1*1)*'COSTOS'!$B$127*(1-'COSTOS'!$B$128)+'GASTOS_ADM_VTAS_FINANZAS'!G12+'GASTOS_ADM_VTAS_FINANZAS'!G13*1+'GASTOS_ADM_VTAS_FINANZAS'!G5+'GASTOS_ADM_VTAS_FINANZAS'!G7*1+'GASTOS_ADM_VTAS_FINANZAS'!G6*1*1+MAX(0,('INGRESOS'!F19*1-((('COSTOS'!F27+'COSTOS'!F40)*1+'COSTOS'!F47*1*1)+'PLANILLA'!F6+SUM('COSTOS'!F67:F71)*1+'COSTOS'!F72)-('GASTOS_ADM_VTAS_FINANZAS'!F12+'GASTOS_ADM_VTAS_FINANZAS'!F13*1+'GASTOS_ADM_VTAS_FINANZAS'!F14+'GASTOS_ADM_VTAS_FINANZAS'!F5+'GASTOS_ADM_VTAS_FINANZAS'!F7*1+'GASTOS_ADM_VTAS_FINANZAS'!F6*1*1)-F41))*'ESTADO DE RESULTADOS'!$B$23+G41+G42</f>
        <v>1183521.38</v>
      </c>
      <c r="I7" s="9">
        <f>'PLANILLA'!H6+SUM('COSTOS'!H67:H71)*1+(('COSTOS'!H27+'COSTOS'!H40)*1+'COSTOS'!H47*1*1)*'COSTOS'!$B$126+(('COSTOS'!H27+'COSTOS'!H40)*1+'COSTOS'!H47*1*1)*'COSTOS'!$B$127*'COSTOS'!$B$128+(('COSTOS'!G27+'COSTOS'!G40)*1+'COSTOS'!G47*1*1)*'COSTOS'!$B$127*(1-'COSTOS'!$B$128)+'GASTOS_ADM_VTAS_FINANZAS'!H12+'GASTOS_ADM_VTAS_FINANZAS'!H13*1+'GASTOS_ADM_VTAS_FINANZAS'!H5+'GASTOS_ADM_VTAS_FINANZAS'!H7*1+'GASTOS_ADM_VTAS_FINANZAS'!H6*1*1+MAX(0,('INGRESOS'!G19*1-((('COSTOS'!G27+'COSTOS'!G40)*1+'COSTOS'!G47*1*1)+'PLANILLA'!G6+SUM('COSTOS'!G67:G71)*1+'COSTOS'!G72)-('GASTOS_ADM_VTAS_FINANZAS'!G12+'GASTOS_ADM_VTAS_FINANZAS'!G13*1+'GASTOS_ADM_VTAS_FINANZAS'!G14+'GASTOS_ADM_VTAS_FINANZAS'!G5+'GASTOS_ADM_VTAS_FINANZAS'!G7*1+'GASTOS_ADM_VTAS_FINANZAS'!G6*1*1)-G41))*'ESTADO DE RESULTADOS'!$B$23+H41+H42</f>
        <v>1331188.88</v>
      </c>
      <c r="J7" s="9">
        <f>'PLANILLA'!I6+SUM('COSTOS'!I67:I71)*1+(('COSTOS'!I27+'COSTOS'!I40)*1+'COSTOS'!I47*1*1)*'COSTOS'!$B$126+(('COSTOS'!I27+'COSTOS'!I40)*1+'COSTOS'!I47*1*1)*'COSTOS'!$B$127*'COSTOS'!$B$128+(('COSTOS'!H27+'COSTOS'!H40)*1+'COSTOS'!H47*1*1)*'COSTOS'!$B$127*(1-'COSTOS'!$B$128)+'GASTOS_ADM_VTAS_FINANZAS'!I12+'GASTOS_ADM_VTAS_FINANZAS'!I13*1+'GASTOS_ADM_VTAS_FINANZAS'!I5+'GASTOS_ADM_VTAS_FINANZAS'!I7*1+'GASTOS_ADM_VTAS_FINANZAS'!I6*1*1+MAX(0,('INGRESOS'!H19*1-((('COSTOS'!H27+'COSTOS'!H40)*1+'COSTOS'!H47*1*1)+'PLANILLA'!H6+SUM('COSTOS'!H67:H71)*1+'COSTOS'!H72)-('GASTOS_ADM_VTAS_FINANZAS'!H12+'GASTOS_ADM_VTAS_FINANZAS'!H13*1+'GASTOS_ADM_VTAS_FINANZAS'!H14+'GASTOS_ADM_VTAS_FINANZAS'!H5+'GASTOS_ADM_VTAS_FINANZAS'!H7*1+'GASTOS_ADM_VTAS_FINANZAS'!H6*1*1)-H41))*'ESTADO DE RESULTADOS'!$B$23+I41+I42</f>
        <v>1444763.99</v>
      </c>
      <c r="K7" s="9">
        <f>'PLANILLA'!J6+SUM('COSTOS'!J67:J71)*1+(('COSTOS'!J27+'COSTOS'!J40)*1+'COSTOS'!J47*1*1)*'COSTOS'!$B$126+(('COSTOS'!J27+'COSTOS'!J40)*1+'COSTOS'!J47*1*1)*'COSTOS'!$B$127*'COSTOS'!$B$128+(('COSTOS'!I27+'COSTOS'!I40)*1+'COSTOS'!I47*1*1)*'COSTOS'!$B$127*(1-'COSTOS'!$B$128)+'GASTOS_ADM_VTAS_FINANZAS'!J12+'GASTOS_ADM_VTAS_FINANZAS'!J13*1+'GASTOS_ADM_VTAS_FINANZAS'!J5+'GASTOS_ADM_VTAS_FINANZAS'!J7*1+'GASTOS_ADM_VTAS_FINANZAS'!J6*1*1+MAX(0,('INGRESOS'!I19*1-((('COSTOS'!I27+'COSTOS'!I40)*1+'COSTOS'!I47*1*1)+'PLANILLA'!I6+SUM('COSTOS'!I67:I71)*1+'COSTOS'!I72)-('GASTOS_ADM_VTAS_FINANZAS'!I12+'GASTOS_ADM_VTAS_FINANZAS'!I13*1+'GASTOS_ADM_VTAS_FINANZAS'!I14+'GASTOS_ADM_VTAS_FINANZAS'!I5+'GASTOS_ADM_VTAS_FINANZAS'!I7*1+'GASTOS_ADM_VTAS_FINANZAS'!I6*1*1)-I41))*'ESTADO DE RESULTADOS'!$B$23+J41+J42</f>
        <v>1643978.86</v>
      </c>
      <c r="L7" s="9">
        <f>'PLANILLA'!K6+SUM('COSTOS'!K67:K71)*1+(('COSTOS'!K27+'COSTOS'!K40)*1+'COSTOS'!K47*1*1)*'COSTOS'!$B$126+(('COSTOS'!K27+'COSTOS'!K40)*1+'COSTOS'!K47*1*1)*'COSTOS'!$B$127*'COSTOS'!$B$128+(('COSTOS'!J27+'COSTOS'!J40)*1+'COSTOS'!J47*1*1)*'COSTOS'!$B$127*(1-'COSTOS'!$B$128)+'GASTOS_ADM_VTAS_FINANZAS'!K12+'GASTOS_ADM_VTAS_FINANZAS'!K13*1+'GASTOS_ADM_VTAS_FINANZAS'!K5+'GASTOS_ADM_VTAS_FINANZAS'!K7*1+'GASTOS_ADM_VTAS_FINANZAS'!K6*1*1+MAX(0,('INGRESOS'!J19*1-((('COSTOS'!J27+'COSTOS'!J40)*1+'COSTOS'!J47*1*1)+'PLANILLA'!J6+SUM('COSTOS'!J67:J71)*1+'COSTOS'!J72)-('GASTOS_ADM_VTAS_FINANZAS'!J12+'GASTOS_ADM_VTAS_FINANZAS'!J13*1+'GASTOS_ADM_VTAS_FINANZAS'!J14+'GASTOS_ADM_VTAS_FINANZAS'!J5+'GASTOS_ADM_VTAS_FINANZAS'!J7*1+'GASTOS_ADM_VTAS_FINANZAS'!J6*1*1)-J41))*'ESTADO DE RESULTADOS'!$B$23+K41+K42</f>
        <v>1813297.39</v>
      </c>
    </row>
    <row r="8" spans="1:12" ht="18" customHeight="1">
      <c r="A8" s="5" t="s">
        <v>569</v>
      </c>
      <c r="B8" s="9">
        <f>B6-B7</f>
        <v>0.0</v>
      </c>
      <c r="C8" s="9">
        <f>C6-C7</f>
        <v>-60730.63</v>
      </c>
      <c r="D8" s="9">
        <f>D6-D7</f>
        <v>-2824.34</v>
      </c>
      <c r="E8" s="9">
        <f>E6-E7</f>
        <v>59294.26</v>
      </c>
      <c r="F8" s="9">
        <f>F6-F7</f>
        <v>130802.64</v>
      </c>
      <c r="G8" s="9">
        <f>G6-G7</f>
        <v>130065.4</v>
      </c>
      <c r="H8" s="9">
        <f>H6-H7</f>
        <v>350115.69</v>
      </c>
      <c r="I8" s="9">
        <f>I6-I7</f>
        <v>374109.67</v>
      </c>
      <c r="J8" s="9">
        <f>J6-J7</f>
        <v>357410.4</v>
      </c>
      <c r="K8" s="9">
        <f>K6-K7</f>
        <v>685459.26</v>
      </c>
      <c r="L8" s="9">
        <f>L6-L7</f>
        <v>736288.25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</f>
        <v>308401.2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-'BALANCE GENERAL PROYECTADO'!L24</f>
        <v>-392780.61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-60730.63</v>
      </c>
      <c r="D13" s="8">
        <f>D5+D8+SUM(D9:D12)</f>
        <v>-2824.34</v>
      </c>
      <c r="E13" s="8">
        <f>E5+E8+SUM(E9:E12)</f>
        <v>59294.26</v>
      </c>
      <c r="F13" s="8">
        <f>F5+F8+SUM(F9:F12)</f>
        <v>130802.64</v>
      </c>
      <c r="G13" s="8">
        <f>G5+G8+SUM(G9:G12)</f>
        <v>130065.4</v>
      </c>
      <c r="H13" s="8">
        <f>H5+H8+SUM(H9:H12)</f>
        <v>350115.69</v>
      </c>
      <c r="I13" s="8">
        <f>I5+I8+SUM(I9:I12)</f>
        <v>374109.67</v>
      </c>
      <c r="J13" s="8">
        <f>J5+J8+SUM(J9:J12)</f>
        <v>357410.4</v>
      </c>
      <c r="K13" s="8">
        <f>K5+K8+SUM(K9:K12)</f>
        <v>685459.26</v>
      </c>
      <c r="L13" s="8">
        <f>L5+L8+SUM(L9:L12)</f>
        <v>686908.84</v>
      </c>
    </row>
    <row r="16" spans="1:12" ht="18" customHeight="1">
      <c r="A16" s="3" t="s">
        <v>683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8" customHeight="1">
      <c r="A17" s="5" t="s">
        <v>684</v>
      </c>
      <c r="B17" s="12" t="s">
        <v>694</v>
      </c>
      <c r="C17" s="11">
        <v>0.24</v>
      </c>
    </row>
    <row r="18" spans="1:12" ht="18" customHeight="1">
      <c r="A18" s="5" t="s">
        <v>686</v>
      </c>
      <c r="B18" s="11">
        <f>('PLAN DE INVERSION'!D27/'PLAN DE INVERSION'!C27)*'COSTO CAPITAL VAN TIR IR'!D5+('PLAN DE INVERSION'!F27/'PLAN DE INVERSION'!C27)*C17</f>
        <v>0.18</v>
      </c>
    </row>
    <row r="19" spans="1:12" ht="18" customHeight="1">
      <c r="A19" s="5" t="s">
        <v>658</v>
      </c>
      <c r="B19" s="11">
        <f>'COSTO CAPITAL VAN TIR IR'!E9</f>
        <v>0.0355</v>
      </c>
    </row>
    <row r="20" spans="1:12" ht="18" customHeight="1">
      <c r="A20" s="5" t="s">
        <v>659</v>
      </c>
      <c r="B20" s="11">
        <f>B18*B19</f>
        <v>0.006389999999999999</v>
      </c>
    </row>
    <row r="21" spans="1:12" ht="18" customHeight="1">
      <c r="A21" s="8" t="s">
        <v>660</v>
      </c>
      <c r="B21" s="22">
        <f>SUM(B18:B20)</f>
        <v>0.22189</v>
      </c>
    </row>
    <row r="23" spans="1:12" ht="18" customHeight="1">
      <c r="A23" s="4" t="s">
        <v>3</v>
      </c>
      <c r="B23" s="4" t="s">
        <v>551</v>
      </c>
      <c r="C23" s="4" t="s">
        <v>4</v>
      </c>
      <c r="D23" s="4" t="s">
        <v>5</v>
      </c>
      <c r="E23" s="4" t="s">
        <v>6</v>
      </c>
      <c r="F23" s="4" t="s">
        <v>7</v>
      </c>
      <c r="G23" s="4" t="s">
        <v>8</v>
      </c>
      <c r="H23" s="4" t="s">
        <v>9</v>
      </c>
      <c r="I23" s="4" t="s">
        <v>10</v>
      </c>
      <c r="J23" s="4" t="s">
        <v>11</v>
      </c>
      <c r="K23" s="4" t="s">
        <v>12</v>
      </c>
      <c r="L23" s="4" t="s">
        <v>13</v>
      </c>
    </row>
    <row r="24" spans="1:12" ht="18" customHeight="1">
      <c r="A24" s="5" t="s">
        <v>687</v>
      </c>
      <c r="B24" s="9">
        <f>-B5</f>
        <v>-300000.0</v>
      </c>
      <c r="C24" s="9">
        <f>C13</f>
        <v>-60730.63</v>
      </c>
      <c r="D24" s="9">
        <f>D13</f>
        <v>-2824.34</v>
      </c>
      <c r="E24" s="9">
        <f>E13</f>
        <v>59294.26</v>
      </c>
      <c r="F24" s="9">
        <f>F13</f>
        <v>130802.64</v>
      </c>
      <c r="G24" s="9">
        <f>G13</f>
        <v>130065.4</v>
      </c>
      <c r="H24" s="9">
        <f>H13</f>
        <v>350115.69</v>
      </c>
      <c r="I24" s="9">
        <f>I13</f>
        <v>374109.67</v>
      </c>
      <c r="J24" s="9">
        <f>J13</f>
        <v>357410.4</v>
      </c>
      <c r="K24" s="9">
        <f>K13</f>
        <v>685459.26</v>
      </c>
      <c r="L24" s="9">
        <f>L13</f>
        <v>686908.84</v>
      </c>
    </row>
    <row r="25" spans="1:12" ht="18" customHeight="1">
      <c r="A25" s="5" t="s">
        <v>663</v>
      </c>
      <c r="B25" s="9">
        <f>B24/((1+B21)^0)</f>
        <v>-300000.0</v>
      </c>
      <c r="C25" s="9">
        <f>C24/((1+B21)^1)</f>
        <v>-49702.21</v>
      </c>
      <c r="D25" s="9">
        <f>D24/((1+B21)^2)</f>
        <v>-1891.7</v>
      </c>
      <c r="E25" s="9">
        <f>E24/((1+B21)^3)</f>
        <v>32502.46</v>
      </c>
      <c r="F25" s="9">
        <f>F24/((1+B21)^4)</f>
        <v>58679.72</v>
      </c>
      <c r="G25" s="9">
        <f>G24/((1+B21)^5)</f>
        <v>47753.06</v>
      </c>
      <c r="H25" s="9">
        <f>H24/((1+B21)^6)</f>
        <v>105200.77</v>
      </c>
      <c r="I25" s="9">
        <f>I24/((1+B21)^7)</f>
        <v>91997.1</v>
      </c>
      <c r="J25" s="9">
        <f>J24/((1+B21)^8)</f>
        <v>71930.04</v>
      </c>
      <c r="K25" s="9">
        <f>K24/((1+B21)^9)</f>
        <v>112899.67</v>
      </c>
      <c r="L25" s="9">
        <f>L24/((1+B21)^10)</f>
        <v>92592.97</v>
      </c>
    </row>
    <row r="27" spans="1:12" ht="18" customHeight="1">
      <c r="A27" s="8" t="s">
        <v>688</v>
      </c>
      <c r="B27" s="8">
        <f>SUM(B25:L25)</f>
        <v>261961.89063169344</v>
      </c>
    </row>
    <row r="28" spans="1:12" ht="18" customHeight="1">
      <c r="A28" s="8" t="s">
        <v>689</v>
      </c>
      <c r="B28" s="22">
        <f>IRR(B24:L24)</f>
        <v>0.32642405488632764</v>
      </c>
    </row>
    <row r="29" spans="1:12" ht="18" customHeight="1">
      <c r="A29" s="8" t="s">
        <v>678</v>
      </c>
      <c r="B29" s="7">
        <f>(B27+ABS(B24))/ABS(B24)</f>
        <v>1.8732063021056446</v>
      </c>
    </row>
    <row r="30" spans="1:12" ht="18" customHeight="1">
      <c r="A30" s="3" t="s">
        <v>680</v>
      </c>
      <c r="B30" s="12" t="str">
        <f>IF(AND(B27&gt;0,B28&gt;B21,B29&gt;1),"PROYECTO SE ACEPTA","PROYECTO NO VIABLE EN ESTE ESCENARIO")</f>
        <v>PROYECTO SE ACEPTA</v>
      </c>
    </row>
    <row r="32" spans="1:12" ht="18" customHeight="1">
      <c r="A32" s="13" t="s">
        <v>690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8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6" spans="1:12" ht="18" customHeight="1">
      <c r="A36" s="13" t="s">
        <v>515</v>
      </c>
      <c r="I36" s="13" t="s">
        <v>516</v>
      </c>
    </row>
    <row r="38" spans="1:12" ht="18" customHeight="1">
      <c r="A38" s="3" t="s">
        <v>695</v>
      </c>
      <c r="B38" s="3"/>
      <c r="C38" s="3"/>
      <c r="D38" s="3"/>
      <c r="E38" s="3"/>
      <c r="F38" s="3"/>
      <c r="G38" s="3"/>
      <c r="H38" s="3"/>
      <c r="I38" s="3"/>
      <c r="J38" s="3"/>
      <c r="K38" s="3"/>
    </row>
    <row r="39" spans="1:12" ht="18" customHeight="1">
      <c r="A39" s="4" t="s">
        <v>3</v>
      </c>
      <c r="B39" s="4" t="s">
        <v>4</v>
      </c>
      <c r="C39" s="4" t="s">
        <v>5</v>
      </c>
      <c r="D39" s="4" t="s">
        <v>6</v>
      </c>
      <c r="E39" s="4" t="s">
        <v>7</v>
      </c>
      <c r="F39" s="4" t="s">
        <v>8</v>
      </c>
      <c r="G39" s="4" t="s">
        <v>9</v>
      </c>
      <c r="H39" s="4" t="s">
        <v>10</v>
      </c>
      <c r="I39" s="4" t="s">
        <v>11</v>
      </c>
      <c r="J39" s="4" t="s">
        <v>12</v>
      </c>
      <c r="K39" s="4" t="s">
        <v>13</v>
      </c>
    </row>
    <row r="40" spans="1:12" ht="18" customHeight="1">
      <c r="A40" s="5" t="s">
        <v>570</v>
      </c>
      <c r="B40" s="9">
        <f>'PLAN DE INVERSION'!F27</f>
        <v>180000.0</v>
      </c>
      <c r="C40" s="9">
        <f>B43</f>
        <v>180000.0</v>
      </c>
      <c r="D40" s="9">
        <f>C43</f>
        <v>180000.0</v>
      </c>
      <c r="E40" s="9">
        <f>D43</f>
        <v>163606.65</v>
      </c>
      <c r="F40" s="9">
        <f>E43</f>
        <v>143278.9</v>
      </c>
      <c r="G40" s="9">
        <f>F43</f>
        <v>118072.49</v>
      </c>
      <c r="H40" s="9">
        <f>G43</f>
        <v>86816.53</v>
      </c>
      <c r="I40" s="9">
        <f>H43</f>
        <v>48059.15</v>
      </c>
      <c r="J40" s="9">
        <f>I43</f>
        <v>0.0</v>
      </c>
      <c r="K40" s="9">
        <f>J43</f>
        <v>0.0</v>
      </c>
    </row>
    <row r="41" spans="1:12" ht="18" customHeight="1">
      <c r="A41" s="5" t="s">
        <v>339</v>
      </c>
      <c r="B41" s="9">
        <f>B40*$C$17</f>
        <v>43200.0</v>
      </c>
      <c r="C41" s="9">
        <f>C40*$C$17</f>
        <v>43200.0</v>
      </c>
      <c r="D41" s="9">
        <f>D40*$C$17</f>
        <v>43200.0</v>
      </c>
      <c r="E41" s="9">
        <f>E40*$C$17</f>
        <v>39265.6</v>
      </c>
      <c r="F41" s="9">
        <f>F40*$C$17</f>
        <v>34386.94</v>
      </c>
      <c r="G41" s="9">
        <f>G40*$C$17</f>
        <v>28337.4</v>
      </c>
      <c r="H41" s="9">
        <f>H40*$C$17</f>
        <v>20835.97</v>
      </c>
      <c r="I41" s="9">
        <f>I40*$C$17</f>
        <v>11534.2</v>
      </c>
      <c r="J41" s="9">
        <f>J40*$C$17</f>
        <v>0.0</v>
      </c>
      <c r="K41" s="9">
        <f>K40*$C$17</f>
        <v>0.0</v>
      </c>
    </row>
    <row r="42" spans="1:12" ht="18" customHeight="1">
      <c r="A42" s="5" t="s">
        <v>340</v>
      </c>
      <c r="B42" s="9">
        <f>IF(1&lt;='GASTOS_ADM_VTAS_FINANZAS'!B50,0,IF(1&lt;='GASTOS_ADM_VTAS_FINANZAS'!B50+'GASTOS_ADM_VTAS_FINANZAS'!B51,MIN(PMT($C$17,'GASTOS_ADM_VTAS_FINANZAS'!B51,-'PLAN DE INVERSION'!F27)-B41,B40),0))</f>
        <v>0.0</v>
      </c>
      <c r="C42" s="9">
        <f>IF(2&lt;='GASTOS_ADM_VTAS_FINANZAS'!B50,0,IF(2&lt;='GASTOS_ADM_VTAS_FINANZAS'!B50+'GASTOS_ADM_VTAS_FINANZAS'!B51,MIN(PMT($C$17,'GASTOS_ADM_VTAS_FINANZAS'!B51,-'PLAN DE INVERSION'!F27)-C41,C40),0))</f>
        <v>0.0</v>
      </c>
      <c r="D42" s="9">
        <f>IF(3&lt;='GASTOS_ADM_VTAS_FINANZAS'!B50,0,IF(3&lt;='GASTOS_ADM_VTAS_FINANZAS'!B50+'GASTOS_ADM_VTAS_FINANZAS'!B51,MIN(PMT($C$17,'GASTOS_ADM_VTAS_FINANZAS'!B51,-'PLAN DE INVERSION'!F27)-D41,D40),0))</f>
        <v>16393.35</v>
      </c>
      <c r="E42" s="9">
        <f>IF(4&lt;='GASTOS_ADM_VTAS_FINANZAS'!B50,0,IF(4&lt;='GASTOS_ADM_VTAS_FINANZAS'!B50+'GASTOS_ADM_VTAS_FINANZAS'!B51,MIN(PMT($C$17,'GASTOS_ADM_VTAS_FINANZAS'!B51,-'PLAN DE INVERSION'!F27)-E41,E40),0))</f>
        <v>20327.75</v>
      </c>
      <c r="F42" s="9">
        <f>IF(5&lt;='GASTOS_ADM_VTAS_FINANZAS'!B50,0,IF(5&lt;='GASTOS_ADM_VTAS_FINANZAS'!B50+'GASTOS_ADM_VTAS_FINANZAS'!B51,MIN(PMT($C$17,'GASTOS_ADM_VTAS_FINANZAS'!B51,-'PLAN DE INVERSION'!F27)-F41,F40),0))</f>
        <v>25206.41</v>
      </c>
      <c r="G42" s="9">
        <f>IF(6&lt;='GASTOS_ADM_VTAS_FINANZAS'!B50,0,IF(6&lt;='GASTOS_ADM_VTAS_FINANZAS'!B50+'GASTOS_ADM_VTAS_FINANZAS'!B51,MIN(PMT($C$17,'GASTOS_ADM_VTAS_FINANZAS'!B51,-'PLAN DE INVERSION'!F27)-G41,G40),0))</f>
        <v>31255.95</v>
      </c>
      <c r="H42" s="9">
        <f>IF(7&lt;='GASTOS_ADM_VTAS_FINANZAS'!B50,0,IF(7&lt;='GASTOS_ADM_VTAS_FINANZAS'!B50+'GASTOS_ADM_VTAS_FINANZAS'!B51,MIN(PMT($C$17,'GASTOS_ADM_VTAS_FINANZAS'!B51,-'PLAN DE INVERSION'!F27)-H41,H40),0))</f>
        <v>38757.38</v>
      </c>
      <c r="I42" s="9">
        <f>IF(8&lt;='GASTOS_ADM_VTAS_FINANZAS'!B50,0,IF(8&lt;='GASTOS_ADM_VTAS_FINANZAS'!B50+'GASTOS_ADM_VTAS_FINANZAS'!B51,MIN(PMT($C$17,'GASTOS_ADM_VTAS_FINANZAS'!B51,-'PLAN DE INVERSION'!F27)-I41,I40),0))</f>
        <v>48059.15</v>
      </c>
      <c r="J42" s="9">
        <f>IF(9&lt;='GASTOS_ADM_VTAS_FINANZAS'!B50,0,IF(9&lt;='GASTOS_ADM_VTAS_FINANZAS'!B50+'GASTOS_ADM_VTAS_FINANZAS'!B51,MIN(PMT($C$17,'GASTOS_ADM_VTAS_FINANZAS'!B51,-'PLAN DE INVERSION'!F27)-J41,J40),0))</f>
        <v>0.0</v>
      </c>
      <c r="K42" s="9">
        <f>IF(10&lt;='GASTOS_ADM_VTAS_FINANZAS'!B50,0,IF(10&lt;='GASTOS_ADM_VTAS_FINANZAS'!B50+'GASTOS_ADM_VTAS_FINANZAS'!B51,MIN(PMT($C$17,'GASTOS_ADM_VTAS_FINANZAS'!B51,-'PLAN DE INVERSION'!F27)-K41,K40),0))</f>
        <v>0.0</v>
      </c>
    </row>
    <row r="43" spans="1:12" ht="18" customHeight="1">
      <c r="A43" s="8" t="s">
        <v>571</v>
      </c>
      <c r="B43" s="8">
        <f>MAX(0,B40-B42)</f>
        <v>180000.0</v>
      </c>
      <c r="C43" s="8">
        <f>MAX(0,C40-C42)</f>
        <v>180000.0</v>
      </c>
      <c r="D43" s="8">
        <f>MAX(0,D40-D42)</f>
        <v>163606.65</v>
      </c>
      <c r="E43" s="8">
        <f>MAX(0,E40-E42)</f>
        <v>143278.9</v>
      </c>
      <c r="F43" s="8">
        <f>MAX(0,F40-F42)</f>
        <v>118072.49</v>
      </c>
      <c r="G43" s="8">
        <f>MAX(0,G40-G42)</f>
        <v>86816.53</v>
      </c>
      <c r="H43" s="8">
        <f>MAX(0,H40-H42)</f>
        <v>48059.15</v>
      </c>
      <c r="I43" s="8">
        <f>MAX(0,I40-I42)</f>
        <v>0.0</v>
      </c>
      <c r="J43" s="8">
        <f>MAX(0,J40-J42)</f>
        <v>0.0</v>
      </c>
      <c r="K43" s="8">
        <f>MAX(0,K40-K42)</f>
        <v>0.0</v>
      </c>
    </row>
  </sheetData>
  <mergeCells count="4">
    <mergeCell ref="A1:L1"/>
    <mergeCell ref="A16:L16"/>
    <mergeCell ref="A32:L33"/>
    <mergeCell ref="A38:K38"/>
  </mergeCells>
  <pageMargins left="0.25" right="0.25" top="0.35" bottom="0.35" header="0.3" footer="0.3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6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696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'INGRESOS'!B23+('INGRESOS'!B25+'INGRESOS'!B26)*(1-$C$17)</f>
        <v>424865.28</v>
      </c>
      <c r="D6" s="9">
        <f>'INGRESOS'!C23+('INGRESOS'!C25+'INGRESOS'!C26)*(1-$C$17)</f>
        <v>590414.05</v>
      </c>
      <c r="E6" s="9">
        <f>'INGRESOS'!D23+('INGRESOS'!D25+'INGRESOS'!D26)*(1-$C$17)</f>
        <v>734808.43</v>
      </c>
      <c r="F6" s="9">
        <f>'INGRESOS'!E23+('INGRESOS'!E25+'INGRESOS'!E26)*(1-$C$17)</f>
        <v>883937.84</v>
      </c>
      <c r="G6" s="9">
        <f>'INGRESOS'!F23+('INGRESOS'!F25+'INGRESOS'!F26)*(1-$C$17)</f>
        <v>926823.15</v>
      </c>
      <c r="H6" s="9">
        <f>'INGRESOS'!G23+('INGRESOS'!G25+'INGRESOS'!G26)*(1-$C$17)</f>
        <v>1354801.32</v>
      </c>
      <c r="I6" s="9">
        <f>'INGRESOS'!H23+('INGRESOS'!H25+'INGRESOS'!H26)*(1-$C$17)</f>
        <v>1501826.21</v>
      </c>
      <c r="J6" s="9">
        <f>'INGRESOS'!I23+('INGRESOS'!I25+'INGRESOS'!I26)*(1-$C$17)</f>
        <v>1586811.64</v>
      </c>
      <c r="K6" s="9">
        <f>'INGRESOS'!J23+('INGRESOS'!J25+'INGRESOS'!J26)*(1-$C$17)</f>
        <v>2055535.04</v>
      </c>
      <c r="L6" s="9">
        <f>'INGRESOS'!K23+('INGRESOS'!K25+'INGRESOS'!K26)*(1-$C$17)</f>
        <v>2245269.31</v>
      </c>
    </row>
    <row r="7" spans="1:12" ht="18" customHeight="1">
      <c r="A7" s="5" t="s">
        <v>645</v>
      </c>
      <c r="B7" s="9">
        <f>0.0</f>
        <v>0.0</v>
      </c>
      <c r="C7" s="9">
        <f>'PRESUPUESTO CAJA'!C26</f>
        <v>526820.23</v>
      </c>
      <c r="D7" s="9">
        <f>'PRESUPUESTO CAJA'!D26</f>
        <v>661369.74</v>
      </c>
      <c r="E7" s="9">
        <f>'PRESUPUESTO CAJA'!E26</f>
        <v>765770.03</v>
      </c>
      <c r="F7" s="9">
        <f>'PRESUPUESTO CAJA'!F26</f>
        <v>866875.91</v>
      </c>
      <c r="G7" s="9">
        <f>'PRESUPUESTO CAJA'!G26</f>
        <v>917680.97</v>
      </c>
      <c r="H7" s="9">
        <f>'PRESUPUESTO CAJA'!H26</f>
        <v>1178184.79</v>
      </c>
      <c r="I7" s="9">
        <f>'PRESUPUESTO CAJA'!I26</f>
        <v>1325477.19</v>
      </c>
      <c r="J7" s="9">
        <f>'PRESUPUESTO CAJA'!J26</f>
        <v>1438502.6</v>
      </c>
      <c r="K7" s="9">
        <f>'PRESUPUESTO CAJA'!K26</f>
        <v>1645065.58</v>
      </c>
      <c r="L7" s="9">
        <f>'PRESUPUESTO CAJA'!L26</f>
        <v>1813297.39</v>
      </c>
    </row>
    <row r="8" spans="1:12" ht="18" customHeight="1">
      <c r="A8" s="5" t="s">
        <v>569</v>
      </c>
      <c r="B8" s="9">
        <f>B6-B7</f>
        <v>0.0</v>
      </c>
      <c r="C8" s="9">
        <f>C6-C7</f>
        <v>-101954.95</v>
      </c>
      <c r="D8" s="9">
        <f>D6-D7</f>
        <v>-70955.69</v>
      </c>
      <c r="E8" s="9">
        <f>E6-E7</f>
        <v>-30961.6</v>
      </c>
      <c r="F8" s="9">
        <f>F6-F7</f>
        <v>17061.93</v>
      </c>
      <c r="G8" s="9">
        <f>G6-G7</f>
        <v>9142.18</v>
      </c>
      <c r="H8" s="9">
        <f>H6-H7</f>
        <v>176616.53</v>
      </c>
      <c r="I8" s="9">
        <f>I6-I7</f>
        <v>176349.02</v>
      </c>
      <c r="J8" s="9">
        <f>J6-J7</f>
        <v>148309.04</v>
      </c>
      <c r="K8" s="9">
        <f>K6-K7</f>
        <v>410469.46</v>
      </c>
      <c r="L8" s="9">
        <f>L6-L7</f>
        <v>431971.92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</f>
        <v>308401.2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-'BALANCE GENERAL PROYECTADO'!L24</f>
        <v>-392780.61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-101954.95</v>
      </c>
      <c r="D13" s="8">
        <f>D5+D8+SUM(D9:D12)</f>
        <v>-70955.69</v>
      </c>
      <c r="E13" s="8">
        <f>E5+E8+SUM(E9:E12)</f>
        <v>-30961.6</v>
      </c>
      <c r="F13" s="8">
        <f>F5+F8+SUM(F9:F12)</f>
        <v>17061.93</v>
      </c>
      <c r="G13" s="8">
        <f>G5+G8+SUM(G9:G12)</f>
        <v>9142.18</v>
      </c>
      <c r="H13" s="8">
        <f>H5+H8+SUM(H9:H12)</f>
        <v>176616.53</v>
      </c>
      <c r="I13" s="8">
        <f>I5+I8+SUM(I9:I12)</f>
        <v>176349.02</v>
      </c>
      <c r="J13" s="8">
        <f>J5+J8+SUM(J9:J12)</f>
        <v>148309.04</v>
      </c>
      <c r="K13" s="8">
        <f>K5+K8+SUM(K9:K12)</f>
        <v>410469.46</v>
      </c>
      <c r="L13" s="8">
        <f>L5+L8+SUM(L9:L12)</f>
        <v>382592.51</v>
      </c>
    </row>
    <row r="16" spans="1:12" ht="18" customHeight="1">
      <c r="A16" s="3" t="s">
        <v>683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8" customHeight="1">
      <c r="A17" s="5" t="s">
        <v>684</v>
      </c>
      <c r="B17" s="12" t="s">
        <v>697</v>
      </c>
      <c r="C17" s="11">
        <v>0.2</v>
      </c>
    </row>
    <row r="18" spans="1:12" ht="18" customHeight="1">
      <c r="A18" s="5" t="s">
        <v>686</v>
      </c>
      <c r="B18" s="11">
        <f>('PLAN DE INVERSION'!D27/'PLAN DE INVERSION'!C27)*'COSTO CAPITAL VAN TIR IR'!D5+('PLAN DE INVERSION'!F27/'PLAN DE INVERSION'!C27)*'GASTOS_ADM_VTAS_FINANZAS'!B49</f>
        <v>0.144</v>
      </c>
    </row>
    <row r="19" spans="1:12" ht="18" customHeight="1">
      <c r="A19" s="5" t="s">
        <v>658</v>
      </c>
      <c r="B19" s="11">
        <f>'COSTO CAPITAL VAN TIR IR'!E9</f>
        <v>0.0355</v>
      </c>
    </row>
    <row r="20" spans="1:12" ht="18" customHeight="1">
      <c r="A20" s="5" t="s">
        <v>659</v>
      </c>
      <c r="B20" s="11">
        <f>B18*B19</f>
        <v>0.005111999999999999</v>
      </c>
    </row>
    <row r="21" spans="1:12" ht="18" customHeight="1">
      <c r="A21" s="8" t="s">
        <v>660</v>
      </c>
      <c r="B21" s="22">
        <f>SUM(B18:B20)</f>
        <v>0.184612</v>
      </c>
    </row>
    <row r="23" spans="1:12" ht="18" customHeight="1">
      <c r="A23" s="4" t="s">
        <v>3</v>
      </c>
      <c r="B23" s="4" t="s">
        <v>551</v>
      </c>
      <c r="C23" s="4" t="s">
        <v>4</v>
      </c>
      <c r="D23" s="4" t="s">
        <v>5</v>
      </c>
      <c r="E23" s="4" t="s">
        <v>6</v>
      </c>
      <c r="F23" s="4" t="s">
        <v>7</v>
      </c>
      <c r="G23" s="4" t="s">
        <v>8</v>
      </c>
      <c r="H23" s="4" t="s">
        <v>9</v>
      </c>
      <c r="I23" s="4" t="s">
        <v>10</v>
      </c>
      <c r="J23" s="4" t="s">
        <v>11</v>
      </c>
      <c r="K23" s="4" t="s">
        <v>12</v>
      </c>
      <c r="L23" s="4" t="s">
        <v>13</v>
      </c>
    </row>
    <row r="24" spans="1:12" ht="18" customHeight="1">
      <c r="A24" s="5" t="s">
        <v>687</v>
      </c>
      <c r="B24" s="9">
        <f>-B5</f>
        <v>-300000.0</v>
      </c>
      <c r="C24" s="9">
        <f>C13</f>
        <v>-101954.95</v>
      </c>
      <c r="D24" s="9">
        <f>D13</f>
        <v>-70955.69</v>
      </c>
      <c r="E24" s="9">
        <f>E13</f>
        <v>-30961.6</v>
      </c>
      <c r="F24" s="9">
        <f>F13</f>
        <v>17061.93</v>
      </c>
      <c r="G24" s="9">
        <f>G13</f>
        <v>9142.18</v>
      </c>
      <c r="H24" s="9">
        <f>H13</f>
        <v>176616.53</v>
      </c>
      <c r="I24" s="9">
        <f>I13</f>
        <v>176349.02</v>
      </c>
      <c r="J24" s="9">
        <f>J13</f>
        <v>148309.04</v>
      </c>
      <c r="K24" s="9">
        <f>K13</f>
        <v>410469.46</v>
      </c>
      <c r="L24" s="9">
        <f>L13</f>
        <v>382592.51</v>
      </c>
    </row>
    <row r="25" spans="1:12" ht="18" customHeight="1">
      <c r="A25" s="5" t="s">
        <v>663</v>
      </c>
      <c r="B25" s="9">
        <f>B24/((1+B21)^0)</f>
        <v>-300000.0</v>
      </c>
      <c r="C25" s="9">
        <f>C24/((1+B21)^1)</f>
        <v>-86066.11</v>
      </c>
      <c r="D25" s="9">
        <f>D24/((1+B21)^2)</f>
        <v>-50563.25</v>
      </c>
      <c r="E25" s="9">
        <f>E24/((1+B21)^3)</f>
        <v>-18624.94</v>
      </c>
      <c r="F25" s="9">
        <f>F24/((1+B21)^4)</f>
        <v>8664.1</v>
      </c>
      <c r="G25" s="9">
        <f>G24/((1+B21)^5)</f>
        <v>3918.94</v>
      </c>
      <c r="H25" s="9">
        <f>H24/((1+B21)^6)</f>
        <v>63910.85</v>
      </c>
      <c r="I25" s="9">
        <f>I24/((1+B21)^7)</f>
        <v>53869.15</v>
      </c>
      <c r="J25" s="9">
        <f>J24/((1+B21)^8)</f>
        <v>38243.58</v>
      </c>
      <c r="K25" s="9">
        <f>K24/((1+B21)^9)</f>
        <v>89350.24</v>
      </c>
      <c r="L25" s="9">
        <f>L24/((1+B21)^10)</f>
        <v>70303.22</v>
      </c>
    </row>
    <row r="27" spans="1:12" ht="18" customHeight="1">
      <c r="A27" s="8" t="s">
        <v>688</v>
      </c>
      <c r="B27" s="8">
        <f>SUM(B25:L25)</f>
        <v>-126994.21863655794</v>
      </c>
    </row>
    <row r="28" spans="1:12" ht="18" customHeight="1">
      <c r="A28" s="8" t="s">
        <v>689</v>
      </c>
      <c r="B28" s="22">
        <f>IRR(B24:L24)</f>
        <v>0.1341434559675999</v>
      </c>
    </row>
    <row r="29" spans="1:12" ht="18" customHeight="1">
      <c r="A29" s="8" t="s">
        <v>678</v>
      </c>
      <c r="B29" s="7">
        <f>(B27+ABS(B24))/ABS(B24)</f>
        <v>0.5766859378781403</v>
      </c>
    </row>
    <row r="30" spans="1:12" ht="18" customHeight="1">
      <c r="A30" s="3" t="s">
        <v>680</v>
      </c>
      <c r="B30" s="12" t="str">
        <f>IF(AND(B27&gt;0,B28&gt;B21,B29&gt;1),"PROYECTO SE ACEPTA","PROYECTO NO VIABLE EN ESTE ESCENARIO")</f>
        <v>PROYECTO NO VIABLE EN ESTE ESCENARIO</v>
      </c>
    </row>
    <row r="32" spans="1:12" ht="18" customHeight="1">
      <c r="A32" s="13" t="s">
        <v>690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8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6" spans="1:12" ht="18" customHeight="1">
      <c r="A36" s="13" t="s">
        <v>515</v>
      </c>
      <c r="I36" s="13" t="s">
        <v>516</v>
      </c>
    </row>
  </sheetData>
  <mergeCells count="3">
    <mergeCell ref="A1:L1"/>
    <mergeCell ref="A16:L16"/>
    <mergeCell ref="A32:L33"/>
  </mergeCells>
  <pageMargins left="0.25" right="0.25" top="0.35" bottom="0.35" header="0.3" footer="0.3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299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698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spans="1:12" ht="20" customHeight="1">
      <c r="A3" s="3" t="s">
        <v>261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2" ht="20" customHeight="1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spans="1:12" ht="18" customHeight="1">
      <c r="A5" s="5" t="s">
        <v>262</v>
      </c>
      <c r="B5" s="9">
        <f>K28</f>
        <v>93729.07</v>
      </c>
      <c r="C5" s="9">
        <f>K49</f>
        <v>98415.53</v>
      </c>
      <c r="D5" s="9">
        <f>K71</f>
        <v>103336.31</v>
      </c>
      <c r="E5" s="9">
        <f>K94</f>
        <v>108503.12</v>
      </c>
      <c r="F5" s="9">
        <f>K119</f>
        <v>131438.1</v>
      </c>
      <c r="G5" s="9">
        <f>K144</f>
        <v>138010.01</v>
      </c>
      <c r="H5" s="9">
        <f>K170</f>
        <v>144910.51</v>
      </c>
      <c r="I5" s="9">
        <f>K196</f>
        <v>152156.03</v>
      </c>
      <c r="J5" s="9">
        <f>K224</f>
        <v>159763.84</v>
      </c>
      <c r="K5" s="9">
        <f>K252</f>
        <v>167752.03</v>
      </c>
    </row>
    <row r="6" spans="1:12" ht="18" customHeight="1">
      <c r="A6" s="5" t="s">
        <v>263</v>
      </c>
      <c r="B6" s="9">
        <f>K40</f>
        <v>94042.55</v>
      </c>
      <c r="C6" s="9">
        <f>K62</f>
        <v>143526.84</v>
      </c>
      <c r="D6" s="9">
        <f>K85</f>
        <v>165929.12</v>
      </c>
      <c r="E6" s="9">
        <f>K109</f>
        <v>174225.58</v>
      </c>
      <c r="F6" s="9">
        <f>K134</f>
        <v>182936.86</v>
      </c>
      <c r="G6" s="9">
        <f>K160</f>
        <v>207309.64</v>
      </c>
      <c r="H6" s="9">
        <f>K186</f>
        <v>217675.12</v>
      </c>
      <c r="I6" s="9">
        <f>K214</f>
        <v>273341.04</v>
      </c>
      <c r="J6" s="9">
        <f>K242</f>
        <v>287008.09</v>
      </c>
      <c r="K6" s="9">
        <f>K270</f>
        <v>301358.5</v>
      </c>
    </row>
    <row r="7" spans="1:12" ht="18" customHeight="1">
      <c r="A7" s="5" t="s">
        <v>264</v>
      </c>
      <c r="B7" s="9">
        <f>K35</f>
        <v>15225.94</v>
      </c>
      <c r="C7" s="9">
        <f>K57</f>
        <v>15987.23</v>
      </c>
      <c r="D7" s="9">
        <f>K80</f>
        <v>16786.6</v>
      </c>
      <c r="E7" s="9">
        <f>K104</f>
        <v>32851.86</v>
      </c>
      <c r="F7" s="9">
        <f>K129</f>
        <v>34494.45</v>
      </c>
      <c r="G7" s="9">
        <f>K155</f>
        <v>36219.18</v>
      </c>
      <c r="H7" s="9">
        <f>K181</f>
        <v>38030.14</v>
      </c>
      <c r="I7" s="9">
        <f>K209</f>
        <v>55157.58</v>
      </c>
      <c r="J7" s="9">
        <f>K237</f>
        <v>57915.46</v>
      </c>
      <c r="K7" s="9">
        <f>K265</f>
        <v>60811.23</v>
      </c>
    </row>
    <row r="8" spans="1:12" ht="18" customHeight="1">
      <c r="A8" s="8" t="s">
        <v>265</v>
      </c>
      <c r="B8" s="8">
        <f>SUM(B5,B6,B7)</f>
        <v>202997.56</v>
      </c>
      <c r="C8" s="8">
        <f>SUM(C5,C6,C7)</f>
        <v>257929.61</v>
      </c>
      <c r="D8" s="8">
        <f>SUM(D5,D6,D7)</f>
        <v>286052.02</v>
      </c>
      <c r="E8" s="8">
        <f>SUM(E5,E6,E7)</f>
        <v>315580.56</v>
      </c>
      <c r="F8" s="8">
        <f>SUM(F5,F6,F7)</f>
        <v>348869.42</v>
      </c>
      <c r="G8" s="8">
        <f>SUM(G5,G6,G7)</f>
        <v>381538.82</v>
      </c>
      <c r="H8" s="8">
        <f>SUM(H5,H6,H7)</f>
        <v>400615.76</v>
      </c>
      <c r="I8" s="8">
        <f>SUM(I5,I6,I7)</f>
        <v>480654.66</v>
      </c>
      <c r="J8" s="8">
        <f>SUM(J5,J6,J7)</f>
        <v>504687.39</v>
      </c>
      <c r="K8" s="8">
        <f>SUM(K5,K6,K7)</f>
        <v>529921.76</v>
      </c>
    </row>
    <row r="9" spans="1:12" ht="18" customHeight="1">
      <c r="A9" s="5" t="s">
        <v>266</v>
      </c>
      <c r="B9" s="9">
        <f>K39</f>
        <v>40303.95</v>
      </c>
      <c r="C9" s="9">
        <f>K61</f>
        <v>87101.31</v>
      </c>
      <c r="D9" s="9">
        <f>K84</f>
        <v>106682.32</v>
      </c>
      <c r="E9" s="9">
        <f>K108</f>
        <v>112016.43</v>
      </c>
      <c r="F9" s="9">
        <f>K133</f>
        <v>117617.25</v>
      </c>
      <c r="G9" s="9">
        <f>K159</f>
        <v>138724.05</v>
      </c>
      <c r="H9" s="9">
        <f>K185</f>
        <v>145660.26</v>
      </c>
      <c r="I9" s="9">
        <f>K213</f>
        <v>197725.44</v>
      </c>
      <c r="J9" s="9">
        <f>K241</f>
        <v>207611.71</v>
      </c>
      <c r="K9" s="9">
        <f>K269</f>
        <v>217992.29</v>
      </c>
    </row>
    <row r="10" spans="1:12" ht="18" customHeight="1">
      <c r="A10" s="5" t="s">
        <v>267</v>
      </c>
      <c r="B10" s="9">
        <f>K38</f>
        <v>53738.6</v>
      </c>
      <c r="C10" s="9">
        <f>K60</f>
        <v>56425.53</v>
      </c>
      <c r="D10" s="9">
        <f>K83</f>
        <v>59246.81</v>
      </c>
      <c r="E10" s="9">
        <f>K107</f>
        <v>62209.15</v>
      </c>
      <c r="F10" s="9">
        <f>K132</f>
        <v>65319.6</v>
      </c>
      <c r="G10" s="9">
        <f>K158</f>
        <v>68585.58</v>
      </c>
      <c r="H10" s="9">
        <f>K184</f>
        <v>72014.86</v>
      </c>
      <c r="I10" s="9">
        <f>K212</f>
        <v>75615.61</v>
      </c>
      <c r="J10" s="9">
        <f>K240</f>
        <v>79396.39</v>
      </c>
      <c r="K10" s="9">
        <f>K268</f>
        <v>83366.21</v>
      </c>
    </row>
    <row r="13" spans="1:12" ht="20" customHeight="1">
      <c r="A13" s="3" t="s">
        <v>268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2" ht="18" customHeight="1">
      <c r="A14" s="4" t="s">
        <v>3</v>
      </c>
      <c r="B14" s="4" t="s">
        <v>269</v>
      </c>
      <c r="C14" s="4" t="s">
        <v>270</v>
      </c>
    </row>
    <row r="15" spans="1:12" ht="18" customHeight="1">
      <c r="A15" s="5" t="s">
        <v>271</v>
      </c>
      <c r="B15" s="11">
        <f>'PLANILLA'!B15</f>
        <v>0.05</v>
      </c>
      <c r="C15" s="12" t="s">
        <v>272</v>
      </c>
    </row>
    <row r="16" spans="1:12" ht="18" customHeight="1">
      <c r="A16" s="5" t="s">
        <v>273</v>
      </c>
      <c r="B16" s="10">
        <f>'PLANILLA'!B16</f>
        <v>2.0</v>
      </c>
      <c r="C16" s="12" t="s">
        <v>274</v>
      </c>
    </row>
    <row r="17" spans="1:11" ht="18" customHeight="1">
      <c r="A17" s="5" t="s">
        <v>275</v>
      </c>
      <c r="B17" s="11">
        <f>'PLANILLA'!B17</f>
        <v>0.09</v>
      </c>
      <c r="C17" s="12" t="s">
        <v>276</v>
      </c>
    </row>
    <row r="18" spans="1:11" ht="18" customHeight="1">
      <c r="A18" s="5" t="s">
        <v>277</v>
      </c>
      <c r="B18" s="11">
        <f>'PLANILLA'!B18</f>
        <v>0.0833</v>
      </c>
      <c r="C18" s="12" t="s">
        <v>278</v>
      </c>
    </row>
    <row r="19" spans="1:11" ht="18" customHeight="1">
      <c r="A19" s="5" t="s">
        <v>279</v>
      </c>
      <c r="B19" s="11">
        <f>'PLANILLA'!B19</f>
        <v>0.5</v>
      </c>
      <c r="C19" s="12" t="s">
        <v>280</v>
      </c>
    </row>
    <row r="20" spans="1:11" ht="18" customHeight="1">
      <c r="A20" s="5" t="s">
        <v>281</v>
      </c>
      <c r="B20" s="10">
        <f>'PLANILLA'!B20</f>
        <v>1.1666666666666667</v>
      </c>
      <c r="C20" s="12" t="s">
        <v>282</v>
      </c>
    </row>
    <row r="23" spans="1:11" ht="20" customHeight="1">
      <c r="A23" s="3" t="s">
        <v>283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ht="18" customHeight="1">
      <c r="A24" s="4" t="s">
        <v>284</v>
      </c>
      <c r="B24" s="4" t="s">
        <v>285</v>
      </c>
      <c r="C24" s="4" t="s">
        <v>286</v>
      </c>
      <c r="D24" s="4" t="s">
        <v>287</v>
      </c>
      <c r="E24" s="4" t="s">
        <v>288</v>
      </c>
      <c r="F24" s="4" t="s">
        <v>289</v>
      </c>
      <c r="G24" s="4" t="s">
        <v>290</v>
      </c>
      <c r="H24" s="4" t="s">
        <v>291</v>
      </c>
      <c r="I24" s="4" t="s">
        <v>292</v>
      </c>
      <c r="J24" s="4" t="s">
        <v>293</v>
      </c>
      <c r="K24" s="4" t="s">
        <v>294</v>
      </c>
    </row>
    <row r="25" spans="1:11" ht="18" customHeight="1">
      <c r="A25" s="3" t="s">
        <v>295</v>
      </c>
    </row>
    <row r="26" spans="1:11" ht="18" customHeight="1">
      <c r="A26" s="14" t="s">
        <v>296</v>
      </c>
      <c r="B26" s="15">
        <f>'PLANILLA'!B26*(1+$B$275)</f>
        <v>4312.5</v>
      </c>
      <c r="C26" s="15">
        <f>B26*12</f>
        <v>51750.0</v>
      </c>
      <c r="D26" s="15">
        <f>B26*$B$16</f>
        <v>8625.0</v>
      </c>
      <c r="E26" s="15">
        <f>C26*$B$17</f>
        <v>4657.5</v>
      </c>
      <c r="F26" s="15">
        <f>(C26+D26)*$B$18</f>
        <v>5029.24</v>
      </c>
      <c r="G26" s="15">
        <f>B26*$B$19</f>
        <v>2156.25</v>
      </c>
      <c r="H26" s="15">
        <f>0</f>
        <v>0.0</v>
      </c>
      <c r="I26" s="15">
        <f>B26*$B$20</f>
        <v>5031.25</v>
      </c>
      <c r="J26" s="15">
        <f>SUM(D26:I26)</f>
        <v>25499.24</v>
      </c>
      <c r="K26" s="15">
        <f>C26+J26</f>
        <v>77249.24</v>
      </c>
    </row>
    <row r="27" spans="1:11" ht="18" customHeight="1">
      <c r="A27" s="14" t="s">
        <v>297</v>
      </c>
      <c r="B27" s="15">
        <f>'PLANILLA'!B27*(1+$B$275)</f>
        <v>920.0</v>
      </c>
      <c r="C27" s="15">
        <f>B27*12</f>
        <v>11040.0</v>
      </c>
      <c r="D27" s="15">
        <f>B27*$B$16</f>
        <v>1840.0</v>
      </c>
      <c r="E27" s="15">
        <f>C27*$B$17</f>
        <v>993.6</v>
      </c>
      <c r="F27" s="15">
        <f>(C27+D27)*$B$18</f>
        <v>1072.9</v>
      </c>
      <c r="G27" s="15">
        <f>B27*$B$19</f>
        <v>460.0</v>
      </c>
      <c r="H27" s="15">
        <f>0</f>
        <v>0.0</v>
      </c>
      <c r="I27" s="15">
        <f>B27*$B$20</f>
        <v>1073.33</v>
      </c>
      <c r="J27" s="15">
        <f>SUM(D27:I27)</f>
        <v>5439.84</v>
      </c>
      <c r="K27" s="15">
        <f>C27+J27</f>
        <v>16479.84</v>
      </c>
    </row>
    <row r="28" spans="1:11" ht="18" customHeight="1">
      <c r="A28" s="8" t="s">
        <v>298</v>
      </c>
      <c r="K28" s="8">
        <f>SUM(K26:K27)</f>
        <v>93729.07</v>
      </c>
    </row>
    <row r="29" spans="1:11" ht="18" customHeight="1">
      <c r="A29" s="3" t="s">
        <v>299</v>
      </c>
    </row>
    <row r="30" spans="1:11" ht="18" customHeight="1">
      <c r="A30" s="14" t="s">
        <v>300</v>
      </c>
      <c r="B30" s="15">
        <f>'PLANILLA'!B30</f>
        <v>3000.0</v>
      </c>
      <c r="C30" s="15">
        <f>B30*12</f>
        <v>36000.0</v>
      </c>
      <c r="D30" s="15">
        <f>B30*$B$16</f>
        <v>6000.0</v>
      </c>
      <c r="E30" s="15">
        <f>C30*$B$17</f>
        <v>3240.0</v>
      </c>
      <c r="F30" s="15">
        <f>(C30+D30)*$B$18</f>
        <v>3498.6</v>
      </c>
      <c r="G30" s="15">
        <f>B30*$B$19</f>
        <v>1500.0</v>
      </c>
      <c r="H30" s="15">
        <f>0</f>
        <v>0.0</v>
      </c>
      <c r="I30" s="15">
        <f>B30*$B$20</f>
        <v>3500.0</v>
      </c>
      <c r="J30" s="15">
        <f>SUM(D30:I30)</f>
        <v>17738.6</v>
      </c>
      <c r="K30" s="15">
        <f>C30+J30</f>
        <v>53738.6</v>
      </c>
    </row>
    <row r="31" spans="1:11" ht="18" customHeight="1">
      <c r="A31" s="14" t="s">
        <v>301</v>
      </c>
      <c r="B31" s="15">
        <f>'PLANILLA'!B31</f>
        <v>2250.0</v>
      </c>
      <c r="C31" s="15">
        <f>B31*12</f>
        <v>27000.0</v>
      </c>
      <c r="D31" s="15">
        <f>B31*$B$16</f>
        <v>4500.0</v>
      </c>
      <c r="E31" s="15">
        <f>C31*$B$17</f>
        <v>2430.0</v>
      </c>
      <c r="F31" s="15">
        <f>(C31+D31)*$B$18</f>
        <v>2623.95</v>
      </c>
      <c r="G31" s="15">
        <f>B31*$B$19</f>
        <v>1125.0</v>
      </c>
      <c r="H31" s="15">
        <f>0</f>
        <v>0.0</v>
      </c>
      <c r="I31" s="15">
        <f>B31*$B$20</f>
        <v>2625.0</v>
      </c>
      <c r="J31" s="15">
        <f>SUM(D31:I31)</f>
        <v>13303.95</v>
      </c>
      <c r="K31" s="15">
        <f>C31+J31</f>
        <v>40303.95</v>
      </c>
    </row>
    <row r="32" spans="1:11" ht="18" customHeight="1">
      <c r="A32" s="8" t="s">
        <v>302</v>
      </c>
      <c r="K32" s="8">
        <f>SUM(K30:K31)</f>
        <v>94042.55</v>
      </c>
    </row>
    <row r="33" spans="1:11" ht="18" customHeight="1">
      <c r="A33" s="3" t="s">
        <v>303</v>
      </c>
    </row>
    <row r="34" spans="1:11" ht="18" customHeight="1">
      <c r="A34" s="14" t="s">
        <v>304</v>
      </c>
      <c r="B34" s="15">
        <f>'PLANILLA'!B34</f>
        <v>850.0</v>
      </c>
      <c r="C34" s="15">
        <f>B34*12</f>
        <v>10200.0</v>
      </c>
      <c r="D34" s="15">
        <f>B34*$B$16</f>
        <v>1700.0</v>
      </c>
      <c r="E34" s="15">
        <f>C34*$B$17</f>
        <v>918.0</v>
      </c>
      <c r="F34" s="15">
        <f>(C34+D34)*$B$18</f>
        <v>991.27</v>
      </c>
      <c r="G34" s="15">
        <f>B34*$B$19</f>
        <v>425.0</v>
      </c>
      <c r="H34" s="15">
        <f>0</f>
        <v>0.0</v>
      </c>
      <c r="I34" s="15">
        <f>B34*$B$20</f>
        <v>991.67</v>
      </c>
      <c r="J34" s="15">
        <f>SUM(D34:I34)</f>
        <v>5025.94</v>
      </c>
      <c r="K34" s="15">
        <f>C34+J34</f>
        <v>15225.94</v>
      </c>
    </row>
    <row r="35" spans="1:11" ht="18" customHeight="1">
      <c r="A35" s="8" t="s">
        <v>305</v>
      </c>
      <c r="K35" s="8">
        <f>SUM(K34:K34)</f>
        <v>15225.94</v>
      </c>
    </row>
    <row r="37" spans="1:11" ht="18" customHeight="1">
      <c r="A37" s="16" t="s">
        <v>306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spans="1:11" ht="18" customHeight="1">
      <c r="A38" s="16" t="s">
        <v>307</v>
      </c>
      <c r="B38" s="16"/>
      <c r="C38" s="16"/>
      <c r="D38" s="16"/>
      <c r="E38" s="16"/>
      <c r="F38" s="16"/>
      <c r="G38" s="16"/>
      <c r="H38" s="16"/>
      <c r="I38" s="16"/>
      <c r="J38" s="16"/>
      <c r="K38" s="17">
        <f>K30</f>
        <v>53738.6</v>
      </c>
    </row>
    <row r="39" spans="1:11" ht="18" customHeight="1">
      <c r="A39" s="16" t="s">
        <v>233</v>
      </c>
      <c r="B39" s="16"/>
      <c r="C39" s="16"/>
      <c r="D39" s="16"/>
      <c r="E39" s="16"/>
      <c r="F39" s="16"/>
      <c r="G39" s="16"/>
      <c r="H39" s="16"/>
      <c r="I39" s="16"/>
      <c r="J39" s="16"/>
      <c r="K39" s="17">
        <f>K31</f>
        <v>40303.95</v>
      </c>
    </row>
    <row r="40" spans="1:11" ht="18" customHeight="1">
      <c r="A40" s="16" t="s">
        <v>308</v>
      </c>
      <c r="B40" s="16"/>
      <c r="C40" s="16"/>
      <c r="D40" s="16"/>
      <c r="E40" s="16"/>
      <c r="F40" s="16"/>
      <c r="G40" s="16"/>
      <c r="H40" s="16"/>
      <c r="I40" s="16"/>
      <c r="J40" s="16"/>
      <c r="K40" s="18">
        <f>SUM(K38:K39)</f>
        <v>94042.55</v>
      </c>
    </row>
    <row r="41" spans="1:11" ht="30" customHeight="1">
      <c r="A41" s="19" t="s">
        <v>309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4" spans="1:11" ht="20" customHeight="1">
      <c r="A44" s="3" t="s">
        <v>310</v>
      </c>
      <c r="B44" s="3"/>
      <c r="C44" s="3"/>
      <c r="D44" s="3"/>
      <c r="E44" s="3"/>
      <c r="F44" s="3"/>
      <c r="G44" s="3"/>
      <c r="H44" s="3"/>
      <c r="I44" s="3"/>
      <c r="J44" s="3"/>
      <c r="K44" s="3"/>
    </row>
    <row r="45" spans="1:11" ht="18" customHeight="1">
      <c r="A45" s="4" t="s">
        <v>284</v>
      </c>
      <c r="B45" s="4" t="s">
        <v>285</v>
      </c>
      <c r="C45" s="4" t="s">
        <v>286</v>
      </c>
      <c r="D45" s="4" t="s">
        <v>287</v>
      </c>
      <c r="E45" s="4" t="s">
        <v>288</v>
      </c>
      <c r="F45" s="4" t="s">
        <v>289</v>
      </c>
      <c r="G45" s="4" t="s">
        <v>290</v>
      </c>
      <c r="H45" s="4" t="s">
        <v>291</v>
      </c>
      <c r="I45" s="4" t="s">
        <v>292</v>
      </c>
      <c r="J45" s="4" t="s">
        <v>293</v>
      </c>
      <c r="K45" s="4" t="s">
        <v>294</v>
      </c>
    </row>
    <row r="46" spans="1:11" ht="18" customHeight="1">
      <c r="A46" s="3" t="s">
        <v>295</v>
      </c>
    </row>
    <row r="47" spans="1:11" ht="18" customHeight="1">
      <c r="A47" s="14" t="s">
        <v>296</v>
      </c>
      <c r="B47" s="15">
        <f>'PLANILLA'!B47*(1+$B$275)</f>
        <v>4528.12</v>
      </c>
      <c r="C47" s="15">
        <f>B47*12</f>
        <v>54337.5</v>
      </c>
      <c r="D47" s="15">
        <f>B47*$B$16</f>
        <v>9056.25</v>
      </c>
      <c r="E47" s="15">
        <f>C47*$B$17</f>
        <v>4890.38</v>
      </c>
      <c r="F47" s="15">
        <f>(C47+D47)*$B$18</f>
        <v>5280.7</v>
      </c>
      <c r="G47" s="15">
        <f>B47*$B$19</f>
        <v>2264.06</v>
      </c>
      <c r="H47" s="15">
        <f>0</f>
        <v>0.0</v>
      </c>
      <c r="I47" s="15">
        <f>B47*$B$20</f>
        <v>5282.81</v>
      </c>
      <c r="J47" s="15">
        <f>SUM(D47:I47)</f>
        <v>26774.2</v>
      </c>
      <c r="K47" s="15">
        <f>C47+J47</f>
        <v>81111.7</v>
      </c>
    </row>
    <row r="48" spans="1:11" ht="18" customHeight="1">
      <c r="A48" s="14" t="s">
        <v>297</v>
      </c>
      <c r="B48" s="15">
        <f>'PLANILLA'!B48*(1+$B$275)</f>
        <v>966.0</v>
      </c>
      <c r="C48" s="15">
        <f>B48*12</f>
        <v>11592.0</v>
      </c>
      <c r="D48" s="15">
        <f>B48*$B$16</f>
        <v>1932.0</v>
      </c>
      <c r="E48" s="15">
        <f>C48*$B$17</f>
        <v>1043.28</v>
      </c>
      <c r="F48" s="15">
        <f>(C48+D48)*$B$18</f>
        <v>1126.55</v>
      </c>
      <c r="G48" s="15">
        <f>B48*$B$19</f>
        <v>483.0</v>
      </c>
      <c r="H48" s="15">
        <f>0</f>
        <v>0.0</v>
      </c>
      <c r="I48" s="15">
        <f>B48*$B$20</f>
        <v>1127.0</v>
      </c>
      <c r="J48" s="15">
        <f>SUM(D48:I48)</f>
        <v>5711.83</v>
      </c>
      <c r="K48" s="15">
        <f>C48+J48</f>
        <v>17303.83</v>
      </c>
    </row>
    <row r="49" spans="1:11" ht="18" customHeight="1">
      <c r="A49" s="8" t="s">
        <v>298</v>
      </c>
      <c r="K49" s="8">
        <f>SUM(K47:K48)</f>
        <v>98415.53</v>
      </c>
    </row>
    <row r="50" spans="1:11" ht="18" customHeight="1">
      <c r="A50" s="3" t="s">
        <v>299</v>
      </c>
    </row>
    <row r="51" spans="1:11" ht="18" customHeight="1">
      <c r="A51" s="14" t="s">
        <v>300</v>
      </c>
      <c r="B51" s="15">
        <f>'PLANILLA'!B51</f>
        <v>3150.0</v>
      </c>
      <c r="C51" s="15">
        <f>B51*12</f>
        <v>37800.0</v>
      </c>
      <c r="D51" s="15">
        <f>B51*$B$16</f>
        <v>6300.0</v>
      </c>
      <c r="E51" s="15">
        <f>C51*$B$17</f>
        <v>3402.0</v>
      </c>
      <c r="F51" s="15">
        <f>(C51+D51)*$B$18</f>
        <v>3673.53</v>
      </c>
      <c r="G51" s="15">
        <f>B51*$B$19</f>
        <v>1575.0</v>
      </c>
      <c r="H51" s="15">
        <f>0</f>
        <v>0.0</v>
      </c>
      <c r="I51" s="15">
        <f>B51*$B$20</f>
        <v>3675.0</v>
      </c>
      <c r="J51" s="15">
        <f>SUM(D51:I51)</f>
        <v>18625.53</v>
      </c>
      <c r="K51" s="15">
        <f>C51+J51</f>
        <v>56425.53</v>
      </c>
    </row>
    <row r="52" spans="1:11" ht="18" customHeight="1">
      <c r="A52" s="14" t="s">
        <v>301</v>
      </c>
      <c r="B52" s="15">
        <f>'PLANILLA'!B52</f>
        <v>2362.5</v>
      </c>
      <c r="C52" s="15">
        <f>B52*12</f>
        <v>28350.0</v>
      </c>
      <c r="D52" s="15">
        <f>B52*$B$16</f>
        <v>4725.0</v>
      </c>
      <c r="E52" s="15">
        <f>C52*$B$17</f>
        <v>2551.5</v>
      </c>
      <c r="F52" s="15">
        <f>(C52+D52)*$B$18</f>
        <v>2755.15</v>
      </c>
      <c r="G52" s="15">
        <f>B52*$B$19</f>
        <v>1181.25</v>
      </c>
      <c r="H52" s="15">
        <f>0</f>
        <v>0.0</v>
      </c>
      <c r="I52" s="15">
        <f>B52*$B$20</f>
        <v>2756.25</v>
      </c>
      <c r="J52" s="15">
        <f>SUM(D52:I52)</f>
        <v>13969.15</v>
      </c>
      <c r="K52" s="15">
        <f>C52+J52</f>
        <v>42319.15</v>
      </c>
    </row>
    <row r="53" spans="1:11" ht="18" customHeight="1">
      <c r="A53" s="14" t="s">
        <v>311</v>
      </c>
      <c r="B53" s="15">
        <f>'PLANILLA'!B53</f>
        <v>2500.0</v>
      </c>
      <c r="C53" s="15">
        <f>B53*12</f>
        <v>30000.0</v>
      </c>
      <c r="D53" s="15">
        <f>B53*$B$16</f>
        <v>5000.0</v>
      </c>
      <c r="E53" s="15">
        <f>C53*$B$17</f>
        <v>2700.0</v>
      </c>
      <c r="F53" s="15">
        <f>(C53+D53)*$B$18</f>
        <v>2915.5</v>
      </c>
      <c r="G53" s="15">
        <f>B53*$B$19</f>
        <v>1250.0</v>
      </c>
      <c r="H53" s="15">
        <f>0</f>
        <v>0.0</v>
      </c>
      <c r="I53" s="15">
        <f>B53*$B$20</f>
        <v>2916.67</v>
      </c>
      <c r="J53" s="15">
        <f>SUM(D53:I53)</f>
        <v>14782.17</v>
      </c>
      <c r="K53" s="15">
        <f>C53+J53</f>
        <v>44782.17</v>
      </c>
    </row>
    <row r="54" spans="1:11" ht="18" customHeight="1">
      <c r="A54" s="8" t="s">
        <v>302</v>
      </c>
      <c r="K54" s="8">
        <f>SUM(K51:K53)</f>
        <v>143526.84</v>
      </c>
    </row>
    <row r="55" spans="1:11" ht="18" customHeight="1">
      <c r="A55" s="3" t="s">
        <v>303</v>
      </c>
    </row>
    <row r="56" spans="1:11" ht="18" customHeight="1">
      <c r="A56" s="14" t="s">
        <v>304</v>
      </c>
      <c r="B56" s="15">
        <f>'PLANILLA'!B56</f>
        <v>892.5</v>
      </c>
      <c r="C56" s="15">
        <f>B56*12</f>
        <v>10710.0</v>
      </c>
      <c r="D56" s="15">
        <f>B56*$B$16</f>
        <v>1785.0</v>
      </c>
      <c r="E56" s="15">
        <f>C56*$B$17</f>
        <v>963.9</v>
      </c>
      <c r="F56" s="15">
        <f>(C56+D56)*$B$18</f>
        <v>1040.83</v>
      </c>
      <c r="G56" s="15">
        <f>B56*$B$19</f>
        <v>446.25</v>
      </c>
      <c r="H56" s="15">
        <f>0</f>
        <v>0.0</v>
      </c>
      <c r="I56" s="15">
        <f>B56*$B$20</f>
        <v>1041.25</v>
      </c>
      <c r="J56" s="15">
        <f>SUM(D56:I56)</f>
        <v>5277.23</v>
      </c>
      <c r="K56" s="15">
        <f>C56+J56</f>
        <v>15987.23</v>
      </c>
    </row>
    <row r="57" spans="1:11" ht="18" customHeight="1">
      <c r="A57" s="8" t="s">
        <v>305</v>
      </c>
      <c r="K57" s="8">
        <f>SUM(K56:K56)</f>
        <v>15987.23</v>
      </c>
    </row>
    <row r="59" spans="1:11" ht="18" customHeight="1">
      <c r="A59" s="16" t="s">
        <v>306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 spans="1:11" ht="18" customHeight="1">
      <c r="A60" s="16" t="s">
        <v>307</v>
      </c>
      <c r="B60" s="16"/>
      <c r="C60" s="16"/>
      <c r="D60" s="16"/>
      <c r="E60" s="16"/>
      <c r="F60" s="16"/>
      <c r="G60" s="16"/>
      <c r="H60" s="16"/>
      <c r="I60" s="16"/>
      <c r="J60" s="16"/>
      <c r="K60" s="17">
        <f>K51</f>
        <v>56425.53</v>
      </c>
    </row>
    <row r="61" spans="1:11" ht="18" customHeight="1">
      <c r="A61" s="16" t="s">
        <v>233</v>
      </c>
      <c r="B61" s="16"/>
      <c r="C61" s="16"/>
      <c r="D61" s="16"/>
      <c r="E61" s="16"/>
      <c r="F61" s="16"/>
      <c r="G61" s="16"/>
      <c r="H61" s="16"/>
      <c r="I61" s="16"/>
      <c r="J61" s="16"/>
      <c r="K61" s="17">
        <f>K52+K53</f>
        <v>87101.31</v>
      </c>
    </row>
    <row r="62" spans="1:11" ht="18" customHeight="1">
      <c r="A62" s="16" t="s">
        <v>308</v>
      </c>
      <c r="B62" s="16"/>
      <c r="C62" s="16"/>
      <c r="D62" s="16"/>
      <c r="E62" s="16"/>
      <c r="F62" s="16"/>
      <c r="G62" s="16"/>
      <c r="H62" s="16"/>
      <c r="I62" s="16"/>
      <c r="J62" s="16"/>
      <c r="K62" s="18">
        <f>SUM(K60:K61)</f>
        <v>143526.84</v>
      </c>
    </row>
    <row r="63" spans="1:11" ht="30" customHeight="1">
      <c r="A63" s="19" t="s">
        <v>309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</row>
    <row r="66" spans="1:11" ht="20" customHeight="1">
      <c r="A66" s="3" t="s">
        <v>312</v>
      </c>
      <c r="B66" s="3"/>
      <c r="C66" s="3"/>
      <c r="D66" s="3"/>
      <c r="E66" s="3"/>
      <c r="F66" s="3"/>
      <c r="G66" s="3"/>
      <c r="H66" s="3"/>
      <c r="I66" s="3"/>
      <c r="J66" s="3"/>
      <c r="K66" s="3"/>
    </row>
    <row r="67" spans="1:11" ht="18" customHeight="1">
      <c r="A67" s="4" t="s">
        <v>284</v>
      </c>
      <c r="B67" s="4" t="s">
        <v>285</v>
      </c>
      <c r="C67" s="4" t="s">
        <v>286</v>
      </c>
      <c r="D67" s="4" t="s">
        <v>287</v>
      </c>
      <c r="E67" s="4" t="s">
        <v>288</v>
      </c>
      <c r="F67" s="4" t="s">
        <v>289</v>
      </c>
      <c r="G67" s="4" t="s">
        <v>290</v>
      </c>
      <c r="H67" s="4" t="s">
        <v>291</v>
      </c>
      <c r="I67" s="4" t="s">
        <v>292</v>
      </c>
      <c r="J67" s="4" t="s">
        <v>293</v>
      </c>
      <c r="K67" s="4" t="s">
        <v>294</v>
      </c>
    </row>
    <row r="68" spans="1:11" ht="18" customHeight="1">
      <c r="A68" s="3" t="s">
        <v>295</v>
      </c>
    </row>
    <row r="69" spans="1:11" ht="18" customHeight="1">
      <c r="A69" s="14" t="s">
        <v>296</v>
      </c>
      <c r="B69" s="15">
        <f>'PLANILLA'!B69*(1+$B$275)</f>
        <v>4754.53</v>
      </c>
      <c r="C69" s="15">
        <f>B69*12</f>
        <v>57054.38</v>
      </c>
      <c r="D69" s="15">
        <f>B69*$B$16</f>
        <v>9509.06</v>
      </c>
      <c r="E69" s="15">
        <f>C69*$B$17</f>
        <v>5134.89</v>
      </c>
      <c r="F69" s="15">
        <f>(C69+D69)*$B$18</f>
        <v>5544.73</v>
      </c>
      <c r="G69" s="15">
        <f>B69*$B$19</f>
        <v>2377.27</v>
      </c>
      <c r="H69" s="15">
        <f>0</f>
        <v>0.0</v>
      </c>
      <c r="I69" s="15">
        <f>B69*$B$20</f>
        <v>5546.95</v>
      </c>
      <c r="J69" s="15">
        <f>SUM(D69:I69)</f>
        <v>28112.91</v>
      </c>
      <c r="K69" s="15">
        <f>C69+J69</f>
        <v>85167.28</v>
      </c>
    </row>
    <row r="70" spans="1:11" ht="18" customHeight="1">
      <c r="A70" s="14" t="s">
        <v>297</v>
      </c>
      <c r="B70" s="15">
        <f>'PLANILLA'!B70*(1+$B$275)</f>
        <v>1014.3</v>
      </c>
      <c r="C70" s="15">
        <f>B70*12</f>
        <v>12171.6</v>
      </c>
      <c r="D70" s="15">
        <f>B70*$B$16</f>
        <v>2028.6</v>
      </c>
      <c r="E70" s="15">
        <f>C70*$B$17</f>
        <v>1095.44</v>
      </c>
      <c r="F70" s="15">
        <f>(C70+D70)*$B$18</f>
        <v>1182.88</v>
      </c>
      <c r="G70" s="15">
        <f>B70*$B$19</f>
        <v>507.15</v>
      </c>
      <c r="H70" s="15">
        <f>0</f>
        <v>0.0</v>
      </c>
      <c r="I70" s="15">
        <f>B70*$B$20</f>
        <v>1183.35</v>
      </c>
      <c r="J70" s="15">
        <f>SUM(D70:I70)</f>
        <v>5997.42</v>
      </c>
      <c r="K70" s="15">
        <f>C70+J70</f>
        <v>18169.02</v>
      </c>
    </row>
    <row r="71" spans="1:11" ht="18" customHeight="1">
      <c r="A71" s="8" t="s">
        <v>298</v>
      </c>
      <c r="K71" s="8">
        <f>SUM(K69:K70)</f>
        <v>103336.31</v>
      </c>
    </row>
    <row r="72" spans="1:11" ht="18" customHeight="1">
      <c r="A72" s="3" t="s">
        <v>299</v>
      </c>
    </row>
    <row r="73" spans="1:11" ht="18" customHeight="1">
      <c r="A73" s="14" t="s">
        <v>300</v>
      </c>
      <c r="B73" s="15">
        <f>'PLANILLA'!B73</f>
        <v>3307.5</v>
      </c>
      <c r="C73" s="15">
        <f>B73*12</f>
        <v>39690.0</v>
      </c>
      <c r="D73" s="15">
        <f>B73*$B$16</f>
        <v>6615.0</v>
      </c>
      <c r="E73" s="15">
        <f>C73*$B$17</f>
        <v>3572.1</v>
      </c>
      <c r="F73" s="15">
        <f>(C73+D73)*$B$18</f>
        <v>3857.21</v>
      </c>
      <c r="G73" s="15">
        <f>B73*$B$19</f>
        <v>1653.75</v>
      </c>
      <c r="H73" s="15">
        <f>0</f>
        <v>0.0</v>
      </c>
      <c r="I73" s="15">
        <f>B73*$B$20</f>
        <v>3858.75</v>
      </c>
      <c r="J73" s="15">
        <f>SUM(D73:I73)</f>
        <v>19556.81</v>
      </c>
      <c r="K73" s="15">
        <f>C73+J73</f>
        <v>59246.81</v>
      </c>
    </row>
    <row r="74" spans="1:11" ht="18" customHeight="1">
      <c r="A74" s="14" t="s">
        <v>301</v>
      </c>
      <c r="B74" s="15">
        <f>'PLANILLA'!B74</f>
        <v>2480.62</v>
      </c>
      <c r="C74" s="15">
        <f>B74*12</f>
        <v>29767.5</v>
      </c>
      <c r="D74" s="15">
        <f>B74*$B$16</f>
        <v>4961.25</v>
      </c>
      <c r="E74" s="15">
        <f>C74*$B$17</f>
        <v>2679.07</v>
      </c>
      <c r="F74" s="15">
        <f>(C74+D74)*$B$18</f>
        <v>2892.9</v>
      </c>
      <c r="G74" s="15">
        <f>B74*$B$19</f>
        <v>1240.31</v>
      </c>
      <c r="H74" s="15">
        <f>0</f>
        <v>0.0</v>
      </c>
      <c r="I74" s="15">
        <f>B74*$B$20</f>
        <v>2894.06</v>
      </c>
      <c r="J74" s="15">
        <f>SUM(D74:I74)</f>
        <v>14667.6</v>
      </c>
      <c r="K74" s="15">
        <f>C74+J74</f>
        <v>44435.1</v>
      </c>
    </row>
    <row r="75" spans="1:11" ht="18" customHeight="1">
      <c r="A75" s="14" t="s">
        <v>311</v>
      </c>
      <c r="B75" s="15">
        <f>'PLANILLA'!B75</f>
        <v>2625.0</v>
      </c>
      <c r="C75" s="15">
        <f>B75*12</f>
        <v>31500.0</v>
      </c>
      <c r="D75" s="15">
        <f>B75*$B$16</f>
        <v>5250.0</v>
      </c>
      <c r="E75" s="15">
        <f>C75*$B$17</f>
        <v>2835.0</v>
      </c>
      <c r="F75" s="15">
        <f>(C75+D75)*$B$18</f>
        <v>3061.28</v>
      </c>
      <c r="G75" s="15">
        <f>B75*$B$19</f>
        <v>1312.5</v>
      </c>
      <c r="H75" s="15">
        <f>0</f>
        <v>0.0</v>
      </c>
      <c r="I75" s="15">
        <f>B75*$B$20</f>
        <v>3062.5</v>
      </c>
      <c r="J75" s="15">
        <f>SUM(D75:I75)</f>
        <v>15521.27</v>
      </c>
      <c r="K75" s="15">
        <f>C75+J75</f>
        <v>47021.28</v>
      </c>
    </row>
    <row r="76" spans="1:11" ht="18" customHeight="1">
      <c r="A76" s="14" t="s">
        <v>313</v>
      </c>
      <c r="B76" s="15">
        <f>'PLANILLA'!B76</f>
        <v>850.0</v>
      </c>
      <c r="C76" s="15">
        <f>B76*12</f>
        <v>10200.0</v>
      </c>
      <c r="D76" s="15">
        <f>B76*$B$16</f>
        <v>1700.0</v>
      </c>
      <c r="E76" s="15">
        <f>C76*$B$17</f>
        <v>918.0</v>
      </c>
      <c r="F76" s="15">
        <f>(C76+D76)*$B$18</f>
        <v>991.27</v>
      </c>
      <c r="G76" s="15">
        <f>B76*$B$19</f>
        <v>425.0</v>
      </c>
      <c r="H76" s="15">
        <f>0</f>
        <v>0.0</v>
      </c>
      <c r="I76" s="15">
        <f>B76*$B$20</f>
        <v>991.67</v>
      </c>
      <c r="J76" s="15">
        <f>SUM(D76:I76)</f>
        <v>5025.94</v>
      </c>
      <c r="K76" s="15">
        <f>C76+J76</f>
        <v>15225.94</v>
      </c>
    </row>
    <row r="77" spans="1:11" ht="18" customHeight="1">
      <c r="A77" s="8" t="s">
        <v>302</v>
      </c>
      <c r="K77" s="8">
        <f>SUM(K73:K76)</f>
        <v>165929.12</v>
      </c>
    </row>
    <row r="78" spans="1:11" ht="18" customHeight="1">
      <c r="A78" s="3" t="s">
        <v>303</v>
      </c>
    </row>
    <row r="79" spans="1:11" ht="18" customHeight="1">
      <c r="A79" s="14" t="s">
        <v>304</v>
      </c>
      <c r="B79" s="15">
        <f>'PLANILLA'!B79</f>
        <v>937.12</v>
      </c>
      <c r="C79" s="15">
        <f>B79*12</f>
        <v>11245.5</v>
      </c>
      <c r="D79" s="15">
        <f>B79*$B$16</f>
        <v>1874.25</v>
      </c>
      <c r="E79" s="15">
        <f>C79*$B$17</f>
        <v>1012.09</v>
      </c>
      <c r="F79" s="15">
        <f>(C79+D79)*$B$18</f>
        <v>1092.88</v>
      </c>
      <c r="G79" s="15">
        <f>B79*$B$19</f>
        <v>468.56</v>
      </c>
      <c r="H79" s="15">
        <f>0</f>
        <v>0.0</v>
      </c>
      <c r="I79" s="15">
        <f>B79*$B$20</f>
        <v>1093.31</v>
      </c>
      <c r="J79" s="15">
        <f>SUM(D79:I79)</f>
        <v>5541.1</v>
      </c>
      <c r="K79" s="15">
        <f>C79+J79</f>
        <v>16786.6</v>
      </c>
    </row>
    <row r="80" spans="1:11" ht="18" customHeight="1">
      <c r="A80" s="8" t="s">
        <v>305</v>
      </c>
      <c r="K80" s="8">
        <f>SUM(K79:K79)</f>
        <v>16786.6</v>
      </c>
    </row>
    <row r="82" spans="1:11" ht="18" customHeight="1">
      <c r="A82" s="16" t="s">
        <v>306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 spans="1:11" ht="18" customHeight="1">
      <c r="A83" s="16" t="s">
        <v>307</v>
      </c>
      <c r="B83" s="16"/>
      <c r="C83" s="16"/>
      <c r="D83" s="16"/>
      <c r="E83" s="16"/>
      <c r="F83" s="16"/>
      <c r="G83" s="16"/>
      <c r="H83" s="16"/>
      <c r="I83" s="16"/>
      <c r="J83" s="16"/>
      <c r="K83" s="17">
        <f>K73</f>
        <v>59246.81</v>
      </c>
    </row>
    <row r="84" spans="1:11" ht="18" customHeight="1">
      <c r="A84" s="16" t="s">
        <v>233</v>
      </c>
      <c r="B84" s="16"/>
      <c r="C84" s="16"/>
      <c r="D84" s="16"/>
      <c r="E84" s="16"/>
      <c r="F84" s="16"/>
      <c r="G84" s="16"/>
      <c r="H84" s="16"/>
      <c r="I84" s="16"/>
      <c r="J84" s="16"/>
      <c r="K84" s="17">
        <f>K74+K75+K76</f>
        <v>106682.32</v>
      </c>
    </row>
    <row r="85" spans="1:11" ht="18" customHeight="1">
      <c r="A85" s="16" t="s">
        <v>308</v>
      </c>
      <c r="B85" s="16"/>
      <c r="C85" s="16"/>
      <c r="D85" s="16"/>
      <c r="E85" s="16"/>
      <c r="F85" s="16"/>
      <c r="G85" s="16"/>
      <c r="H85" s="16"/>
      <c r="I85" s="16"/>
      <c r="J85" s="16"/>
      <c r="K85" s="18">
        <f>SUM(K83:K84)</f>
        <v>165929.12</v>
      </c>
    </row>
    <row r="86" spans="1:11" ht="30" customHeight="1">
      <c r="A86" s="19" t="s">
        <v>309</v>
      </c>
      <c r="B86" s="19"/>
      <c r="C86" s="19"/>
      <c r="D86" s="19"/>
      <c r="E86" s="19"/>
      <c r="F86" s="19"/>
      <c r="G86" s="19"/>
      <c r="H86" s="19"/>
      <c r="I86" s="19"/>
      <c r="J86" s="19"/>
      <c r="K86" s="19"/>
    </row>
    <row r="89" spans="1:11" ht="20" customHeight="1">
      <c r="A89" s="3" t="s">
        <v>314</v>
      </c>
      <c r="B89" s="3"/>
      <c r="C89" s="3"/>
      <c r="D89" s="3"/>
      <c r="E89" s="3"/>
      <c r="F89" s="3"/>
      <c r="G89" s="3"/>
      <c r="H89" s="3"/>
      <c r="I89" s="3"/>
      <c r="J89" s="3"/>
      <c r="K89" s="3"/>
    </row>
    <row r="90" spans="1:11" ht="18" customHeight="1">
      <c r="A90" s="4" t="s">
        <v>284</v>
      </c>
      <c r="B90" s="4" t="s">
        <v>285</v>
      </c>
      <c r="C90" s="4" t="s">
        <v>286</v>
      </c>
      <c r="D90" s="4" t="s">
        <v>287</v>
      </c>
      <c r="E90" s="4" t="s">
        <v>288</v>
      </c>
      <c r="F90" s="4" t="s">
        <v>289</v>
      </c>
      <c r="G90" s="4" t="s">
        <v>290</v>
      </c>
      <c r="H90" s="4" t="s">
        <v>291</v>
      </c>
      <c r="I90" s="4" t="s">
        <v>292</v>
      </c>
      <c r="J90" s="4" t="s">
        <v>293</v>
      </c>
      <c r="K90" s="4" t="s">
        <v>294</v>
      </c>
    </row>
    <row r="91" spans="1:11" ht="18" customHeight="1">
      <c r="A91" s="3" t="s">
        <v>295</v>
      </c>
    </row>
    <row r="92" spans="1:11" ht="18" customHeight="1">
      <c r="A92" s="14" t="s">
        <v>296</v>
      </c>
      <c r="B92" s="15">
        <f>'PLANILLA'!B92*(1+$B$275)</f>
        <v>4992.26</v>
      </c>
      <c r="C92" s="15">
        <f>B92*12</f>
        <v>59907.09</v>
      </c>
      <c r="D92" s="15">
        <f>B92*$B$16</f>
        <v>9984.52</v>
      </c>
      <c r="E92" s="15">
        <f>C92*$B$17</f>
        <v>5391.64</v>
      </c>
      <c r="F92" s="15">
        <f>(C92+D92)*$B$18</f>
        <v>5821.97</v>
      </c>
      <c r="G92" s="15">
        <f>B92*$B$19</f>
        <v>2496.13</v>
      </c>
      <c r="H92" s="15">
        <f>0</f>
        <v>0.0</v>
      </c>
      <c r="I92" s="15">
        <f>B92*$B$20</f>
        <v>5824.3</v>
      </c>
      <c r="J92" s="15">
        <f>SUM(D92:I92)</f>
        <v>29518.55</v>
      </c>
      <c r="K92" s="15">
        <f>C92+J92</f>
        <v>89425.65</v>
      </c>
    </row>
    <row r="93" spans="1:11" ht="18" customHeight="1">
      <c r="A93" s="14" t="s">
        <v>297</v>
      </c>
      <c r="B93" s="15">
        <f>'PLANILLA'!B93*(1+$B$275)</f>
        <v>1065.02</v>
      </c>
      <c r="C93" s="15">
        <f>B93*12</f>
        <v>12780.18</v>
      </c>
      <c r="D93" s="15">
        <f>B93*$B$16</f>
        <v>2130.03</v>
      </c>
      <c r="E93" s="15">
        <f>C93*$B$17</f>
        <v>1150.22</v>
      </c>
      <c r="F93" s="15">
        <f>(C93+D93)*$B$18</f>
        <v>1242.02</v>
      </c>
      <c r="G93" s="15">
        <f>B93*$B$19</f>
        <v>532.51</v>
      </c>
      <c r="H93" s="15">
        <f>0</f>
        <v>0.0</v>
      </c>
      <c r="I93" s="15">
        <f>B93*$B$20</f>
        <v>1242.52</v>
      </c>
      <c r="J93" s="15">
        <f>SUM(D93:I93)</f>
        <v>6297.29</v>
      </c>
      <c r="K93" s="15">
        <f>C93+J93</f>
        <v>19077.47</v>
      </c>
    </row>
    <row r="94" spans="1:11" ht="18" customHeight="1">
      <c r="A94" s="8" t="s">
        <v>298</v>
      </c>
      <c r="K94" s="8">
        <f>SUM(K92:K93)</f>
        <v>108503.12</v>
      </c>
    </row>
    <row r="95" spans="1:11" ht="18" customHeight="1">
      <c r="A95" s="3" t="s">
        <v>299</v>
      </c>
    </row>
    <row r="96" spans="1:11" ht="18" customHeight="1">
      <c r="A96" s="14" t="s">
        <v>300</v>
      </c>
      <c r="B96" s="15">
        <f>'PLANILLA'!B96</f>
        <v>3472.88</v>
      </c>
      <c r="C96" s="15">
        <f>B96*12</f>
        <v>41674.5</v>
      </c>
      <c r="D96" s="15">
        <f>B96*$B$16</f>
        <v>6945.75</v>
      </c>
      <c r="E96" s="15">
        <f>C96*$B$17</f>
        <v>3750.71</v>
      </c>
      <c r="F96" s="15">
        <f>(C96+D96)*$B$18</f>
        <v>4050.07</v>
      </c>
      <c r="G96" s="15">
        <f>B96*$B$19</f>
        <v>1736.44</v>
      </c>
      <c r="H96" s="15">
        <f>0</f>
        <v>0.0</v>
      </c>
      <c r="I96" s="15">
        <f>B96*$B$20</f>
        <v>4051.69</v>
      </c>
      <c r="J96" s="15">
        <f>SUM(D96:I96)</f>
        <v>20534.65</v>
      </c>
      <c r="K96" s="15">
        <f>C96+J96</f>
        <v>62209.15</v>
      </c>
    </row>
    <row r="97" spans="1:11" ht="18" customHeight="1">
      <c r="A97" s="14" t="s">
        <v>301</v>
      </c>
      <c r="B97" s="15">
        <f>'PLANILLA'!B97</f>
        <v>2604.66</v>
      </c>
      <c r="C97" s="15">
        <f>B97*12</f>
        <v>31255.88</v>
      </c>
      <c r="D97" s="15">
        <f>B97*$B$16</f>
        <v>5209.31</v>
      </c>
      <c r="E97" s="15">
        <f>C97*$B$17</f>
        <v>2813.03</v>
      </c>
      <c r="F97" s="15">
        <f>(C97+D97)*$B$18</f>
        <v>3037.55</v>
      </c>
      <c r="G97" s="15">
        <f>B97*$B$19</f>
        <v>1302.33</v>
      </c>
      <c r="H97" s="15">
        <f>0</f>
        <v>0.0</v>
      </c>
      <c r="I97" s="15">
        <f>B97*$B$20</f>
        <v>3038.77</v>
      </c>
      <c r="J97" s="15">
        <f>SUM(D97:I97)</f>
        <v>15400.99</v>
      </c>
      <c r="K97" s="15">
        <f>C97+J97</f>
        <v>46656.86</v>
      </c>
    </row>
    <row r="98" spans="1:11" ht="18" customHeight="1">
      <c r="A98" s="14" t="s">
        <v>311</v>
      </c>
      <c r="B98" s="15">
        <f>'PLANILLA'!B98</f>
        <v>2756.25</v>
      </c>
      <c r="C98" s="15">
        <f>B98*12</f>
        <v>33075.0</v>
      </c>
      <c r="D98" s="15">
        <f>B98*$B$16</f>
        <v>5512.5</v>
      </c>
      <c r="E98" s="15">
        <f>C98*$B$17</f>
        <v>2976.75</v>
      </c>
      <c r="F98" s="15">
        <f>(C98+D98)*$B$18</f>
        <v>3214.34</v>
      </c>
      <c r="G98" s="15">
        <f>B98*$B$19</f>
        <v>1378.12</v>
      </c>
      <c r="H98" s="15">
        <f>0</f>
        <v>0.0</v>
      </c>
      <c r="I98" s="15">
        <f>B98*$B$20</f>
        <v>3215.62</v>
      </c>
      <c r="J98" s="15">
        <f>SUM(D98:I98)</f>
        <v>16297.34</v>
      </c>
      <c r="K98" s="15">
        <f>C98+J98</f>
        <v>49372.34</v>
      </c>
    </row>
    <row r="99" spans="1:11" ht="18" customHeight="1">
      <c r="A99" s="14" t="s">
        <v>313</v>
      </c>
      <c r="B99" s="15">
        <f>'PLANILLA'!B99</f>
        <v>892.5</v>
      </c>
      <c r="C99" s="15">
        <f>B99*12</f>
        <v>10710.0</v>
      </c>
      <c r="D99" s="15">
        <f>B99*$B$16</f>
        <v>1785.0</v>
      </c>
      <c r="E99" s="15">
        <f>C99*$B$17</f>
        <v>963.9</v>
      </c>
      <c r="F99" s="15">
        <f>(C99+D99)*$B$18</f>
        <v>1040.83</v>
      </c>
      <c r="G99" s="15">
        <f>B99*$B$19</f>
        <v>446.25</v>
      </c>
      <c r="H99" s="15">
        <f>0</f>
        <v>0.0</v>
      </c>
      <c r="I99" s="15">
        <f>B99*$B$20</f>
        <v>1041.25</v>
      </c>
      <c r="J99" s="15">
        <f>SUM(D99:I99)</f>
        <v>5277.23</v>
      </c>
      <c r="K99" s="15">
        <f>C99+J99</f>
        <v>15987.23</v>
      </c>
    </row>
    <row r="100" spans="1:11" ht="18" customHeight="1">
      <c r="A100" s="8" t="s">
        <v>302</v>
      </c>
      <c r="K100" s="8">
        <f>SUM(K96:K99)</f>
        <v>174225.58</v>
      </c>
    </row>
    <row r="101" spans="1:11" ht="18" customHeight="1">
      <c r="A101" s="3" t="s">
        <v>303</v>
      </c>
    </row>
    <row r="102" spans="1:11" ht="18" customHeight="1">
      <c r="A102" s="14" t="s">
        <v>304</v>
      </c>
      <c r="B102" s="15">
        <f>'PLANILLA'!B102</f>
        <v>983.98</v>
      </c>
      <c r="C102" s="15">
        <f>B102*12</f>
        <v>11807.78</v>
      </c>
      <c r="D102" s="15">
        <f>B102*$B$16</f>
        <v>1967.96</v>
      </c>
      <c r="E102" s="15">
        <f>C102*$B$17</f>
        <v>1062.7</v>
      </c>
      <c r="F102" s="15">
        <f>(C102+D102)*$B$18</f>
        <v>1147.52</v>
      </c>
      <c r="G102" s="15">
        <f>B102*$B$19</f>
        <v>491.99</v>
      </c>
      <c r="H102" s="15">
        <f>0</f>
        <v>0.0</v>
      </c>
      <c r="I102" s="15">
        <f>B102*$B$20</f>
        <v>1147.98</v>
      </c>
      <c r="J102" s="15">
        <f>SUM(D102:I102)</f>
        <v>5818.15</v>
      </c>
      <c r="K102" s="15">
        <f>C102+J102</f>
        <v>17625.92</v>
      </c>
    </row>
    <row r="103" spans="1:11" ht="18" customHeight="1">
      <c r="A103" s="14" t="s">
        <v>315</v>
      </c>
      <c r="B103" s="15">
        <f>'PLANILLA'!B103</f>
        <v>850.0</v>
      </c>
      <c r="C103" s="15">
        <f>B103*12</f>
        <v>10200.0</v>
      </c>
      <c r="D103" s="15">
        <f>B103*$B$16</f>
        <v>1700.0</v>
      </c>
      <c r="E103" s="15">
        <f>C103*$B$17</f>
        <v>918.0</v>
      </c>
      <c r="F103" s="15">
        <f>(C103+D103)*$B$18</f>
        <v>991.27</v>
      </c>
      <c r="G103" s="15">
        <f>B103*$B$19</f>
        <v>425.0</v>
      </c>
      <c r="H103" s="15">
        <f>0</f>
        <v>0.0</v>
      </c>
      <c r="I103" s="15">
        <f>B103*$B$20</f>
        <v>991.67</v>
      </c>
      <c r="J103" s="15">
        <f>SUM(D103:I103)</f>
        <v>5025.94</v>
      </c>
      <c r="K103" s="15">
        <f>C103+J103</f>
        <v>15225.94</v>
      </c>
    </row>
    <row r="104" spans="1:11" ht="18" customHeight="1">
      <c r="A104" s="8" t="s">
        <v>305</v>
      </c>
      <c r="K104" s="8">
        <f>SUM(K102:K103)</f>
        <v>32851.86</v>
      </c>
    </row>
    <row r="106" spans="1:11" ht="18" customHeight="1">
      <c r="A106" s="16" t="s">
        <v>306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</row>
    <row r="107" spans="1:11" ht="18" customHeight="1">
      <c r="A107" s="16" t="s">
        <v>307</v>
      </c>
      <c r="B107" s="16"/>
      <c r="C107" s="16"/>
      <c r="D107" s="16"/>
      <c r="E107" s="16"/>
      <c r="F107" s="16"/>
      <c r="G107" s="16"/>
      <c r="H107" s="16"/>
      <c r="I107" s="16"/>
      <c r="J107" s="16"/>
      <c r="K107" s="17">
        <f>K96</f>
        <v>62209.15</v>
      </c>
    </row>
    <row r="108" spans="1:11" ht="18" customHeight="1">
      <c r="A108" s="16" t="s">
        <v>233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7">
        <f>K97+K98+K99</f>
        <v>112016.43</v>
      </c>
    </row>
    <row r="109" spans="1:11" ht="18" customHeight="1">
      <c r="A109" s="16" t="s">
        <v>308</v>
      </c>
      <c r="B109" s="16"/>
      <c r="C109" s="16"/>
      <c r="D109" s="16"/>
      <c r="E109" s="16"/>
      <c r="F109" s="16"/>
      <c r="G109" s="16"/>
      <c r="H109" s="16"/>
      <c r="I109" s="16"/>
      <c r="J109" s="16"/>
      <c r="K109" s="18">
        <f>SUM(K107:K108)</f>
        <v>174225.58</v>
      </c>
    </row>
    <row r="110" spans="1:11" ht="30" customHeight="1">
      <c r="A110" s="19" t="s">
        <v>309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</row>
    <row r="113" spans="1:11" ht="20" customHeight="1">
      <c r="A113" s="3" t="s">
        <v>316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</row>
    <row r="114" spans="1:11" ht="18" customHeight="1">
      <c r="A114" s="4" t="s">
        <v>284</v>
      </c>
      <c r="B114" s="4" t="s">
        <v>285</v>
      </c>
      <c r="C114" s="4" t="s">
        <v>286</v>
      </c>
      <c r="D114" s="4" t="s">
        <v>287</v>
      </c>
      <c r="E114" s="4" t="s">
        <v>288</v>
      </c>
      <c r="F114" s="4" t="s">
        <v>289</v>
      </c>
      <c r="G114" s="4" t="s">
        <v>290</v>
      </c>
      <c r="H114" s="4" t="s">
        <v>291</v>
      </c>
      <c r="I114" s="4" t="s">
        <v>292</v>
      </c>
      <c r="J114" s="4" t="s">
        <v>293</v>
      </c>
      <c r="K114" s="4" t="s">
        <v>294</v>
      </c>
    </row>
    <row r="115" spans="1:11" ht="18" customHeight="1">
      <c r="A115" s="3" t="s">
        <v>295</v>
      </c>
    </row>
    <row r="116" spans="1:11" ht="18" customHeight="1">
      <c r="A116" s="14" t="s">
        <v>296</v>
      </c>
      <c r="B116" s="15">
        <f>'PLANILLA'!B116*(1+$B$275)</f>
        <v>5241.87</v>
      </c>
      <c r="C116" s="15">
        <f>B116*12</f>
        <v>62902.45</v>
      </c>
      <c r="D116" s="15">
        <f>B116*$B$16</f>
        <v>10483.74</v>
      </c>
      <c r="E116" s="15">
        <f>C116*$B$17</f>
        <v>5661.22</v>
      </c>
      <c r="F116" s="15">
        <f>(C116+D116)*$B$18</f>
        <v>6113.07</v>
      </c>
      <c r="G116" s="15">
        <f>B116*$B$19</f>
        <v>2620.94</v>
      </c>
      <c r="H116" s="15">
        <f>0</f>
        <v>0.0</v>
      </c>
      <c r="I116" s="15">
        <f>B116*$B$20</f>
        <v>6115.52</v>
      </c>
      <c r="J116" s="15">
        <f>SUM(D116:I116)</f>
        <v>30994.48</v>
      </c>
      <c r="K116" s="15">
        <f>C116+J116</f>
        <v>93896.93</v>
      </c>
    </row>
    <row r="117" spans="1:11" ht="18" customHeight="1">
      <c r="A117" s="14" t="s">
        <v>297</v>
      </c>
      <c r="B117" s="15">
        <f>'PLANILLA'!B117*(1+$B$275)</f>
        <v>1118.27</v>
      </c>
      <c r="C117" s="15">
        <f>B117*12</f>
        <v>13419.19</v>
      </c>
      <c r="D117" s="15">
        <f>B117*$B$16</f>
        <v>2236.53</v>
      </c>
      <c r="E117" s="15">
        <f>C117*$B$17</f>
        <v>1207.73</v>
      </c>
      <c r="F117" s="15">
        <f>(C117+D117)*$B$18</f>
        <v>1304.12</v>
      </c>
      <c r="G117" s="15">
        <f>B117*$B$19</f>
        <v>559.13</v>
      </c>
      <c r="H117" s="15">
        <f>0</f>
        <v>0.0</v>
      </c>
      <c r="I117" s="15">
        <f>B117*$B$20</f>
        <v>1304.64</v>
      </c>
      <c r="J117" s="15">
        <f>SUM(D117:I117)</f>
        <v>6612.16</v>
      </c>
      <c r="K117" s="15">
        <f>C117+J117</f>
        <v>20031.35</v>
      </c>
    </row>
    <row r="118" spans="1:11" ht="18" customHeight="1">
      <c r="A118" s="14" t="s">
        <v>317</v>
      </c>
      <c r="B118" s="15">
        <f>'PLANILLA'!B118*(1+$B$275)</f>
        <v>977.5</v>
      </c>
      <c r="C118" s="15">
        <f>B118*12</f>
        <v>11730.0</v>
      </c>
      <c r="D118" s="15">
        <f>B118*$B$16</f>
        <v>1955.0</v>
      </c>
      <c r="E118" s="15">
        <f>C118*$B$17</f>
        <v>1055.7</v>
      </c>
      <c r="F118" s="15">
        <f>(C118+D118)*$B$18</f>
        <v>1139.96</v>
      </c>
      <c r="G118" s="15">
        <f>B118*$B$19</f>
        <v>488.75</v>
      </c>
      <c r="H118" s="15">
        <f>0</f>
        <v>0.0</v>
      </c>
      <c r="I118" s="15">
        <f>B118*$B$20</f>
        <v>1140.42</v>
      </c>
      <c r="J118" s="15">
        <f>SUM(D118:I118)</f>
        <v>5779.83</v>
      </c>
      <c r="K118" s="15">
        <f>C118+J118</f>
        <v>17509.83</v>
      </c>
    </row>
    <row r="119" spans="1:11" ht="18" customHeight="1">
      <c r="A119" s="8" t="s">
        <v>298</v>
      </c>
      <c r="K119" s="8">
        <f>SUM(K116:K118)</f>
        <v>131438.1</v>
      </c>
    </row>
    <row r="120" spans="1:11" ht="18" customHeight="1">
      <c r="A120" s="3" t="s">
        <v>299</v>
      </c>
    </row>
    <row r="121" spans="1:11" ht="18" customHeight="1">
      <c r="A121" s="14" t="s">
        <v>300</v>
      </c>
      <c r="B121" s="15">
        <f>'PLANILLA'!B121</f>
        <v>3646.52</v>
      </c>
      <c r="C121" s="15">
        <f>B121*12</f>
        <v>43758.23</v>
      </c>
      <c r="D121" s="15">
        <f>B121*$B$16</f>
        <v>7293.04</v>
      </c>
      <c r="E121" s="15">
        <f>C121*$B$17</f>
        <v>3938.24</v>
      </c>
      <c r="F121" s="15">
        <f>(C121+D121)*$B$18</f>
        <v>4252.57</v>
      </c>
      <c r="G121" s="15">
        <f>B121*$B$19</f>
        <v>1823.26</v>
      </c>
      <c r="H121" s="15">
        <f>0</f>
        <v>0.0</v>
      </c>
      <c r="I121" s="15">
        <f>B121*$B$20</f>
        <v>4254.27</v>
      </c>
      <c r="J121" s="15">
        <f>SUM(D121:I121)</f>
        <v>21561.38</v>
      </c>
      <c r="K121" s="15">
        <f>C121+J121</f>
        <v>65319.6</v>
      </c>
    </row>
    <row r="122" spans="1:11" ht="18" customHeight="1">
      <c r="A122" s="14" t="s">
        <v>301</v>
      </c>
      <c r="B122" s="15">
        <f>'PLANILLA'!B122</f>
        <v>2734.89</v>
      </c>
      <c r="C122" s="15">
        <f>B122*12</f>
        <v>32818.67</v>
      </c>
      <c r="D122" s="15">
        <f>B122*$B$16</f>
        <v>5469.78</v>
      </c>
      <c r="E122" s="15">
        <f>C122*$B$17</f>
        <v>2953.68</v>
      </c>
      <c r="F122" s="15">
        <f>(C122+D122)*$B$18</f>
        <v>3189.43</v>
      </c>
      <c r="G122" s="15">
        <f>B122*$B$19</f>
        <v>1367.44</v>
      </c>
      <c r="H122" s="15">
        <f>0</f>
        <v>0.0</v>
      </c>
      <c r="I122" s="15">
        <f>B122*$B$20</f>
        <v>3190.7</v>
      </c>
      <c r="J122" s="15">
        <f>SUM(D122:I122)</f>
        <v>16171.03</v>
      </c>
      <c r="K122" s="15">
        <f>C122+J122</f>
        <v>48989.7</v>
      </c>
    </row>
    <row r="123" spans="1:11" ht="18" customHeight="1">
      <c r="A123" s="14" t="s">
        <v>311</v>
      </c>
      <c r="B123" s="15">
        <f>'PLANILLA'!B123</f>
        <v>2894.06</v>
      </c>
      <c r="C123" s="15">
        <f>B123*12</f>
        <v>34728.75</v>
      </c>
      <c r="D123" s="15">
        <f>B123*$B$16</f>
        <v>5788.13</v>
      </c>
      <c r="E123" s="15">
        <f>C123*$B$17</f>
        <v>3125.59</v>
      </c>
      <c r="F123" s="15">
        <f>(C123+D123)*$B$18</f>
        <v>3375.06</v>
      </c>
      <c r="G123" s="15">
        <f>B123*$B$19</f>
        <v>1447.03</v>
      </c>
      <c r="H123" s="15">
        <f>0</f>
        <v>0.0</v>
      </c>
      <c r="I123" s="15">
        <f>B123*$B$20</f>
        <v>3376.41</v>
      </c>
      <c r="J123" s="15">
        <f>SUM(D123:I123)</f>
        <v>17112.21</v>
      </c>
      <c r="K123" s="15">
        <f>C123+J123</f>
        <v>51840.96</v>
      </c>
    </row>
    <row r="124" spans="1:11" ht="18" customHeight="1">
      <c r="A124" s="14" t="s">
        <v>313</v>
      </c>
      <c r="B124" s="15">
        <f>'PLANILLA'!B124</f>
        <v>937.12</v>
      </c>
      <c r="C124" s="15">
        <f>B124*12</f>
        <v>11245.5</v>
      </c>
      <c r="D124" s="15">
        <f>B124*$B$16</f>
        <v>1874.25</v>
      </c>
      <c r="E124" s="15">
        <f>C124*$B$17</f>
        <v>1012.09</v>
      </c>
      <c r="F124" s="15">
        <f>(C124+D124)*$B$18</f>
        <v>1092.88</v>
      </c>
      <c r="G124" s="15">
        <f>B124*$B$19</f>
        <v>468.56</v>
      </c>
      <c r="H124" s="15">
        <f>0</f>
        <v>0.0</v>
      </c>
      <c r="I124" s="15">
        <f>B124*$B$20</f>
        <v>1093.31</v>
      </c>
      <c r="J124" s="15">
        <f>SUM(D124:I124)</f>
        <v>5541.1</v>
      </c>
      <c r="K124" s="15">
        <f>C124+J124</f>
        <v>16786.6</v>
      </c>
    </row>
    <row r="125" spans="1:11" ht="18" customHeight="1">
      <c r="A125" s="8" t="s">
        <v>302</v>
      </c>
      <c r="K125" s="8">
        <f>SUM(K121:K124)</f>
        <v>182936.86</v>
      </c>
    </row>
    <row r="126" spans="1:11" ht="18" customHeight="1">
      <c r="A126" s="3" t="s">
        <v>303</v>
      </c>
    </row>
    <row r="127" spans="1:11" ht="18" customHeight="1">
      <c r="A127" s="14" t="s">
        <v>304</v>
      </c>
      <c r="B127" s="15">
        <f>'PLANILLA'!B127</f>
        <v>1033.18</v>
      </c>
      <c r="C127" s="15">
        <f>B127*12</f>
        <v>12398.16</v>
      </c>
      <c r="D127" s="15">
        <f>B127*$B$16</f>
        <v>2066.36</v>
      </c>
      <c r="E127" s="15">
        <f>C127*$B$17</f>
        <v>1115.83</v>
      </c>
      <c r="F127" s="15">
        <f>(C127+D127)*$B$18</f>
        <v>1204.89</v>
      </c>
      <c r="G127" s="15">
        <f>B127*$B$19</f>
        <v>516.59</v>
      </c>
      <c r="H127" s="15">
        <f>0</f>
        <v>0.0</v>
      </c>
      <c r="I127" s="15">
        <f>B127*$B$20</f>
        <v>1205.38</v>
      </c>
      <c r="J127" s="15">
        <f>SUM(D127:I127)</f>
        <v>6109.06</v>
      </c>
      <c r="K127" s="15">
        <f>C127+J127</f>
        <v>18507.22</v>
      </c>
    </row>
    <row r="128" spans="1:11" ht="18" customHeight="1">
      <c r="A128" s="14" t="s">
        <v>315</v>
      </c>
      <c r="B128" s="15">
        <f>'PLANILLA'!B128</f>
        <v>892.5</v>
      </c>
      <c r="C128" s="15">
        <f>B128*12</f>
        <v>10710.0</v>
      </c>
      <c r="D128" s="15">
        <f>B128*$B$16</f>
        <v>1785.0</v>
      </c>
      <c r="E128" s="15">
        <f>C128*$B$17</f>
        <v>963.9</v>
      </c>
      <c r="F128" s="15">
        <f>(C128+D128)*$B$18</f>
        <v>1040.83</v>
      </c>
      <c r="G128" s="15">
        <f>B128*$B$19</f>
        <v>446.25</v>
      </c>
      <c r="H128" s="15">
        <f>0</f>
        <v>0.0</v>
      </c>
      <c r="I128" s="15">
        <f>B128*$B$20</f>
        <v>1041.25</v>
      </c>
      <c r="J128" s="15">
        <f>SUM(D128:I128)</f>
        <v>5277.23</v>
      </c>
      <c r="K128" s="15">
        <f>C128+J128</f>
        <v>15987.23</v>
      </c>
    </row>
    <row r="129" spans="1:11" ht="18" customHeight="1">
      <c r="A129" s="8" t="s">
        <v>305</v>
      </c>
      <c r="K129" s="8">
        <f>SUM(K127:K128)</f>
        <v>34494.45</v>
      </c>
    </row>
    <row r="131" spans="1:11" ht="18" customHeight="1">
      <c r="A131" s="16" t="s">
        <v>306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</row>
    <row r="132" spans="1:11" ht="18" customHeight="1">
      <c r="A132" s="16" t="s">
        <v>307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7">
        <f>K121</f>
        <v>65319.6</v>
      </c>
    </row>
    <row r="133" spans="1:11" ht="18" customHeight="1">
      <c r="A133" s="16" t="s">
        <v>233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7">
        <f>K122+K123+K124</f>
        <v>117617.25</v>
      </c>
    </row>
    <row r="134" spans="1:11" ht="18" customHeight="1">
      <c r="A134" s="16" t="s">
        <v>308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8">
        <f>SUM(K132:K133)</f>
        <v>182936.86</v>
      </c>
    </row>
    <row r="135" spans="1:11" ht="30" customHeight="1">
      <c r="A135" s="19" t="s">
        <v>309</v>
      </c>
      <c r="B135" s="19"/>
      <c r="C135" s="19"/>
      <c r="D135" s="19"/>
      <c r="E135" s="19"/>
      <c r="F135" s="19"/>
      <c r="G135" s="19"/>
      <c r="H135" s="19"/>
      <c r="I135" s="19"/>
      <c r="J135" s="19"/>
      <c r="K135" s="19"/>
    </row>
    <row r="138" spans="1:11" ht="20" customHeight="1">
      <c r="A138" s="3" t="s">
        <v>318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</row>
    <row r="139" spans="1:11" ht="18" customHeight="1">
      <c r="A139" s="4" t="s">
        <v>284</v>
      </c>
      <c r="B139" s="4" t="s">
        <v>285</v>
      </c>
      <c r="C139" s="4" t="s">
        <v>286</v>
      </c>
      <c r="D139" s="4" t="s">
        <v>287</v>
      </c>
      <c r="E139" s="4" t="s">
        <v>288</v>
      </c>
      <c r="F139" s="4" t="s">
        <v>289</v>
      </c>
      <c r="G139" s="4" t="s">
        <v>290</v>
      </c>
      <c r="H139" s="4" t="s">
        <v>291</v>
      </c>
      <c r="I139" s="4" t="s">
        <v>292</v>
      </c>
      <c r="J139" s="4" t="s">
        <v>293</v>
      </c>
      <c r="K139" s="4" t="s">
        <v>294</v>
      </c>
    </row>
    <row r="140" spans="1:11" ht="18" customHeight="1">
      <c r="A140" s="3" t="s">
        <v>295</v>
      </c>
    </row>
    <row r="141" spans="1:11" ht="18" customHeight="1">
      <c r="A141" s="14" t="s">
        <v>296</v>
      </c>
      <c r="B141" s="15">
        <f>'PLANILLA'!B141*(1+$B$275)</f>
        <v>5503.96</v>
      </c>
      <c r="C141" s="15">
        <f>B141*12</f>
        <v>66047.57</v>
      </c>
      <c r="D141" s="15">
        <f>B141*$B$16</f>
        <v>11007.93</v>
      </c>
      <c r="E141" s="15">
        <f>C141*$B$17</f>
        <v>5944.28</v>
      </c>
      <c r="F141" s="15">
        <f>(C141+D141)*$B$18</f>
        <v>6418.72</v>
      </c>
      <c r="G141" s="15">
        <f>B141*$B$19</f>
        <v>2751.98</v>
      </c>
      <c r="H141" s="15">
        <f>0</f>
        <v>0.0</v>
      </c>
      <c r="I141" s="15">
        <f>B141*$B$20</f>
        <v>6421.29</v>
      </c>
      <c r="J141" s="15">
        <f>SUM(D141:I141)</f>
        <v>32544.21</v>
      </c>
      <c r="K141" s="15">
        <f>C141+J141</f>
        <v>98591.78</v>
      </c>
    </row>
    <row r="142" spans="1:11" ht="18" customHeight="1">
      <c r="A142" s="14" t="s">
        <v>297</v>
      </c>
      <c r="B142" s="15">
        <f>'PLANILLA'!B142*(1+$B$275)</f>
        <v>1174.18</v>
      </c>
      <c r="C142" s="15">
        <f>B142*12</f>
        <v>14090.15</v>
      </c>
      <c r="D142" s="15">
        <f>B142*$B$16</f>
        <v>2348.36</v>
      </c>
      <c r="E142" s="15">
        <f>C142*$B$17</f>
        <v>1268.11</v>
      </c>
      <c r="F142" s="15">
        <f>(C142+D142)*$B$18</f>
        <v>1369.33</v>
      </c>
      <c r="G142" s="15">
        <f>B142*$B$19</f>
        <v>587.09</v>
      </c>
      <c r="H142" s="15">
        <f>0</f>
        <v>0.0</v>
      </c>
      <c r="I142" s="15">
        <f>B142*$B$20</f>
        <v>1369.88</v>
      </c>
      <c r="J142" s="15">
        <f>SUM(D142:I142)</f>
        <v>6942.76</v>
      </c>
      <c r="K142" s="15">
        <f>C142+J142</f>
        <v>21032.91</v>
      </c>
    </row>
    <row r="143" spans="1:11" ht="18" customHeight="1">
      <c r="A143" s="14" t="s">
        <v>317</v>
      </c>
      <c r="B143" s="15">
        <f>'PLANILLA'!B143*(1+$B$275)</f>
        <v>1026.38</v>
      </c>
      <c r="C143" s="15">
        <f>B143*12</f>
        <v>12316.5</v>
      </c>
      <c r="D143" s="15">
        <f>B143*$B$16</f>
        <v>2052.75</v>
      </c>
      <c r="E143" s="15">
        <f>C143*$B$17</f>
        <v>1108.48</v>
      </c>
      <c r="F143" s="15">
        <f>(C143+D143)*$B$18</f>
        <v>1196.96</v>
      </c>
      <c r="G143" s="15">
        <f>B143*$B$19</f>
        <v>513.19</v>
      </c>
      <c r="H143" s="15">
        <f>0</f>
        <v>0.0</v>
      </c>
      <c r="I143" s="15">
        <f>B143*$B$20</f>
        <v>1197.44</v>
      </c>
      <c r="J143" s="15">
        <f>SUM(D143:I143)</f>
        <v>6068.82</v>
      </c>
      <c r="K143" s="15">
        <f>C143+J143</f>
        <v>18385.32</v>
      </c>
    </row>
    <row r="144" spans="1:11" ht="18" customHeight="1">
      <c r="A144" s="8" t="s">
        <v>298</v>
      </c>
      <c r="K144" s="8">
        <f>SUM(K141:K143)</f>
        <v>138010.01</v>
      </c>
    </row>
    <row r="145" spans="1:11" ht="18" customHeight="1">
      <c r="A145" s="3" t="s">
        <v>299</v>
      </c>
    </row>
    <row r="146" spans="1:11" ht="18" customHeight="1">
      <c r="A146" s="14" t="s">
        <v>300</v>
      </c>
      <c r="B146" s="15">
        <f>'PLANILLA'!B146</f>
        <v>3828.84</v>
      </c>
      <c r="C146" s="15">
        <f>B146*12</f>
        <v>45946.14</v>
      </c>
      <c r="D146" s="15">
        <f>B146*$B$16</f>
        <v>7657.69</v>
      </c>
      <c r="E146" s="15">
        <f>C146*$B$17</f>
        <v>4135.15</v>
      </c>
      <c r="F146" s="15">
        <f>(C146+D146)*$B$18</f>
        <v>4465.2</v>
      </c>
      <c r="G146" s="15">
        <f>B146*$B$19</f>
        <v>1914.42</v>
      </c>
      <c r="H146" s="15">
        <f>0</f>
        <v>0.0</v>
      </c>
      <c r="I146" s="15">
        <f>B146*$B$20</f>
        <v>4466.99</v>
      </c>
      <c r="J146" s="15">
        <f>SUM(D146:I146)</f>
        <v>22639.45</v>
      </c>
      <c r="K146" s="15">
        <f>C146+J146</f>
        <v>68585.58</v>
      </c>
    </row>
    <row r="147" spans="1:11" ht="18" customHeight="1">
      <c r="A147" s="14" t="s">
        <v>301</v>
      </c>
      <c r="B147" s="15">
        <f>'PLANILLA'!B147</f>
        <v>2871.63</v>
      </c>
      <c r="C147" s="15">
        <f>B147*12</f>
        <v>34459.6</v>
      </c>
      <c r="D147" s="15">
        <f>B147*$B$16</f>
        <v>5743.27</v>
      </c>
      <c r="E147" s="15">
        <f>C147*$B$17</f>
        <v>3101.36</v>
      </c>
      <c r="F147" s="15">
        <f>(C147+D147)*$B$18</f>
        <v>3348.9</v>
      </c>
      <c r="G147" s="15">
        <f>B147*$B$19</f>
        <v>1435.82</v>
      </c>
      <c r="H147" s="15">
        <f>0</f>
        <v>0.0</v>
      </c>
      <c r="I147" s="15">
        <f>B147*$B$20</f>
        <v>3350.24</v>
      </c>
      <c r="J147" s="15">
        <f>SUM(D147:I147)</f>
        <v>16979.59</v>
      </c>
      <c r="K147" s="15">
        <f>C147+J147</f>
        <v>51439.19</v>
      </c>
    </row>
    <row r="148" spans="1:11" ht="18" customHeight="1">
      <c r="A148" s="14" t="s">
        <v>311</v>
      </c>
      <c r="B148" s="15">
        <f>'PLANILLA'!B148</f>
        <v>3038.77</v>
      </c>
      <c r="C148" s="15">
        <f>B148*12</f>
        <v>36465.19</v>
      </c>
      <c r="D148" s="15">
        <f>B148*$B$16</f>
        <v>6077.53</v>
      </c>
      <c r="E148" s="15">
        <f>C148*$B$17</f>
        <v>3281.87</v>
      </c>
      <c r="F148" s="15">
        <f>(C148+D148)*$B$18</f>
        <v>3543.81</v>
      </c>
      <c r="G148" s="15">
        <f>B148*$B$19</f>
        <v>1519.38</v>
      </c>
      <c r="H148" s="15">
        <f>0</f>
        <v>0.0</v>
      </c>
      <c r="I148" s="15">
        <f>B148*$B$20</f>
        <v>3545.23</v>
      </c>
      <c r="J148" s="15">
        <f>SUM(D148:I148)</f>
        <v>17967.82</v>
      </c>
      <c r="K148" s="15">
        <f>C148+J148</f>
        <v>54433.0</v>
      </c>
    </row>
    <row r="149" spans="1:11" ht="18" customHeight="1">
      <c r="A149" s="14" t="s">
        <v>313</v>
      </c>
      <c r="B149" s="15">
        <f>'PLANILLA'!B149</f>
        <v>983.98</v>
      </c>
      <c r="C149" s="15">
        <f>B149*12</f>
        <v>11807.78</v>
      </c>
      <c r="D149" s="15">
        <f>B149*$B$16</f>
        <v>1967.96</v>
      </c>
      <c r="E149" s="15">
        <f>C149*$B$17</f>
        <v>1062.7</v>
      </c>
      <c r="F149" s="15">
        <f>(C149+D149)*$B$18</f>
        <v>1147.52</v>
      </c>
      <c r="G149" s="15">
        <f>B149*$B$19</f>
        <v>491.99</v>
      </c>
      <c r="H149" s="15">
        <f>0</f>
        <v>0.0</v>
      </c>
      <c r="I149" s="15">
        <f>B149*$B$20</f>
        <v>1147.98</v>
      </c>
      <c r="J149" s="15">
        <f>SUM(D149:I149)</f>
        <v>5818.15</v>
      </c>
      <c r="K149" s="15">
        <f>C149+J149</f>
        <v>17625.92</v>
      </c>
    </row>
    <row r="150" spans="1:11" ht="18" customHeight="1">
      <c r="A150" s="14" t="s">
        <v>319</v>
      </c>
      <c r="B150" s="15">
        <f>'PLANILLA'!B150</f>
        <v>850.0</v>
      </c>
      <c r="C150" s="15">
        <f>B150*12</f>
        <v>10200.0</v>
      </c>
      <c r="D150" s="15">
        <f>B150*$B$16</f>
        <v>1700.0</v>
      </c>
      <c r="E150" s="15">
        <f>C150*$B$17</f>
        <v>918.0</v>
      </c>
      <c r="F150" s="15">
        <f>(C150+D150)*$B$18</f>
        <v>991.27</v>
      </c>
      <c r="G150" s="15">
        <f>B150*$B$19</f>
        <v>425.0</v>
      </c>
      <c r="H150" s="15">
        <f>0</f>
        <v>0.0</v>
      </c>
      <c r="I150" s="15">
        <f>B150*$B$20</f>
        <v>991.67</v>
      </c>
      <c r="J150" s="15">
        <f>SUM(D150:I150)</f>
        <v>5025.94</v>
      </c>
      <c r="K150" s="15">
        <f>C150+J150</f>
        <v>15225.94</v>
      </c>
    </row>
    <row r="151" spans="1:11" ht="18" customHeight="1">
      <c r="A151" s="8" t="s">
        <v>302</v>
      </c>
      <c r="K151" s="8">
        <f>SUM(K146:K150)</f>
        <v>207309.64</v>
      </c>
    </row>
    <row r="152" spans="1:11" ht="18" customHeight="1">
      <c r="A152" s="3" t="s">
        <v>303</v>
      </c>
    </row>
    <row r="153" spans="1:11" ht="18" customHeight="1">
      <c r="A153" s="14" t="s">
        <v>304</v>
      </c>
      <c r="B153" s="15">
        <f>'PLANILLA'!B153</f>
        <v>1084.84</v>
      </c>
      <c r="C153" s="15">
        <f>B153*12</f>
        <v>13018.07</v>
      </c>
      <c r="D153" s="15">
        <f>B153*$B$16</f>
        <v>2169.68</v>
      </c>
      <c r="E153" s="15">
        <f>C153*$B$17</f>
        <v>1171.63</v>
      </c>
      <c r="F153" s="15">
        <f>(C153+D153)*$B$18</f>
        <v>1265.14</v>
      </c>
      <c r="G153" s="15">
        <f>B153*$B$19</f>
        <v>542.42</v>
      </c>
      <c r="H153" s="15">
        <f>0</f>
        <v>0.0</v>
      </c>
      <c r="I153" s="15">
        <f>B153*$B$20</f>
        <v>1265.65</v>
      </c>
      <c r="J153" s="15">
        <f>SUM(D153:I153)</f>
        <v>6414.51</v>
      </c>
      <c r="K153" s="15">
        <f>C153+J153</f>
        <v>19432.58</v>
      </c>
    </row>
    <row r="154" spans="1:11" ht="18" customHeight="1">
      <c r="A154" s="14" t="s">
        <v>315</v>
      </c>
      <c r="B154" s="15">
        <f>'PLANILLA'!B154</f>
        <v>937.12</v>
      </c>
      <c r="C154" s="15">
        <f>B154*12</f>
        <v>11245.5</v>
      </c>
      <c r="D154" s="15">
        <f>B154*$B$16</f>
        <v>1874.25</v>
      </c>
      <c r="E154" s="15">
        <f>C154*$B$17</f>
        <v>1012.09</v>
      </c>
      <c r="F154" s="15">
        <f>(C154+D154)*$B$18</f>
        <v>1092.88</v>
      </c>
      <c r="G154" s="15">
        <f>B154*$B$19</f>
        <v>468.56</v>
      </c>
      <c r="H154" s="15">
        <f>0</f>
        <v>0.0</v>
      </c>
      <c r="I154" s="15">
        <f>B154*$B$20</f>
        <v>1093.31</v>
      </c>
      <c r="J154" s="15">
        <f>SUM(D154:I154)</f>
        <v>5541.1</v>
      </c>
      <c r="K154" s="15">
        <f>C154+J154</f>
        <v>16786.6</v>
      </c>
    </row>
    <row r="155" spans="1:11" ht="18" customHeight="1">
      <c r="A155" s="8" t="s">
        <v>305</v>
      </c>
      <c r="K155" s="8">
        <f>SUM(K153:K154)</f>
        <v>36219.18</v>
      </c>
    </row>
    <row r="157" spans="1:11" ht="18" customHeight="1">
      <c r="A157" s="16" t="s">
        <v>306</v>
      </c>
      <c r="B157" s="16"/>
      <c r="C157" s="16"/>
      <c r="D157" s="16"/>
      <c r="E157" s="16"/>
      <c r="F157" s="16"/>
      <c r="G157" s="16"/>
      <c r="H157" s="16"/>
      <c r="I157" s="16"/>
      <c r="J157" s="16"/>
      <c r="K157" s="16"/>
    </row>
    <row r="158" spans="1:11" ht="18" customHeight="1">
      <c r="A158" s="16" t="s">
        <v>307</v>
      </c>
      <c r="B158" s="16"/>
      <c r="C158" s="16"/>
      <c r="D158" s="16"/>
      <c r="E158" s="16"/>
      <c r="F158" s="16"/>
      <c r="G158" s="16"/>
      <c r="H158" s="16"/>
      <c r="I158" s="16"/>
      <c r="J158" s="16"/>
      <c r="K158" s="17">
        <f>K146</f>
        <v>68585.58</v>
      </c>
    </row>
    <row r="159" spans="1:11" ht="18" customHeight="1">
      <c r="A159" s="16" t="s">
        <v>233</v>
      </c>
      <c r="B159" s="16"/>
      <c r="C159" s="16"/>
      <c r="D159" s="16"/>
      <c r="E159" s="16"/>
      <c r="F159" s="16"/>
      <c r="G159" s="16"/>
      <c r="H159" s="16"/>
      <c r="I159" s="16"/>
      <c r="J159" s="16"/>
      <c r="K159" s="17">
        <f>K147+K148+K149+K150</f>
        <v>138724.05</v>
      </c>
    </row>
    <row r="160" spans="1:11" ht="18" customHeight="1">
      <c r="A160" s="16" t="s">
        <v>308</v>
      </c>
      <c r="B160" s="16"/>
      <c r="C160" s="16"/>
      <c r="D160" s="16"/>
      <c r="E160" s="16"/>
      <c r="F160" s="16"/>
      <c r="G160" s="16"/>
      <c r="H160" s="16"/>
      <c r="I160" s="16"/>
      <c r="J160" s="16"/>
      <c r="K160" s="18">
        <f>SUM(K158:K159)</f>
        <v>207309.64</v>
      </c>
    </row>
    <row r="161" spans="1:11" ht="30" customHeight="1">
      <c r="A161" s="19" t="s">
        <v>309</v>
      </c>
      <c r="B161" s="19"/>
      <c r="C161" s="19"/>
      <c r="D161" s="19"/>
      <c r="E161" s="19"/>
      <c r="F161" s="19"/>
      <c r="G161" s="19"/>
      <c r="H161" s="19"/>
      <c r="I161" s="19"/>
      <c r="J161" s="19"/>
      <c r="K161" s="19"/>
    </row>
    <row r="164" spans="1:11" ht="20" customHeight="1">
      <c r="A164" s="3" t="s">
        <v>320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</row>
    <row r="165" spans="1:11" ht="18" customHeight="1">
      <c r="A165" s="4" t="s">
        <v>284</v>
      </c>
      <c r="B165" s="4" t="s">
        <v>285</v>
      </c>
      <c r="C165" s="4" t="s">
        <v>286</v>
      </c>
      <c r="D165" s="4" t="s">
        <v>287</v>
      </c>
      <c r="E165" s="4" t="s">
        <v>288</v>
      </c>
      <c r="F165" s="4" t="s">
        <v>289</v>
      </c>
      <c r="G165" s="4" t="s">
        <v>290</v>
      </c>
      <c r="H165" s="4" t="s">
        <v>291</v>
      </c>
      <c r="I165" s="4" t="s">
        <v>292</v>
      </c>
      <c r="J165" s="4" t="s">
        <v>293</v>
      </c>
      <c r="K165" s="4" t="s">
        <v>294</v>
      </c>
    </row>
    <row r="166" spans="1:11" ht="18" customHeight="1">
      <c r="A166" s="3" t="s">
        <v>295</v>
      </c>
    </row>
    <row r="167" spans="1:11" ht="18" customHeight="1">
      <c r="A167" s="14" t="s">
        <v>296</v>
      </c>
      <c r="B167" s="15">
        <f>'PLANILLA'!B167*(1+$B$275)</f>
        <v>5779.16</v>
      </c>
      <c r="C167" s="15">
        <f>B167*12</f>
        <v>69349.95</v>
      </c>
      <c r="D167" s="15">
        <f>B167*$B$16</f>
        <v>11558.32</v>
      </c>
      <c r="E167" s="15">
        <f>C167*$B$17</f>
        <v>6241.5</v>
      </c>
      <c r="F167" s="15">
        <f>(C167+D167)*$B$18</f>
        <v>6739.66</v>
      </c>
      <c r="G167" s="15">
        <f>B167*$B$19</f>
        <v>2889.58</v>
      </c>
      <c r="H167" s="15">
        <f>0</f>
        <v>0.0</v>
      </c>
      <c r="I167" s="15">
        <f>B167*$B$20</f>
        <v>6742.36</v>
      </c>
      <c r="J167" s="15">
        <f>SUM(D167:I167)</f>
        <v>34171.42</v>
      </c>
      <c r="K167" s="15">
        <f>C167+J167</f>
        <v>103521.37</v>
      </c>
    </row>
    <row r="168" spans="1:11" ht="18" customHeight="1">
      <c r="A168" s="14" t="s">
        <v>297</v>
      </c>
      <c r="B168" s="15">
        <f>'PLANILLA'!B168*(1+$B$275)</f>
        <v>1232.89</v>
      </c>
      <c r="C168" s="15">
        <f>B168*12</f>
        <v>14794.66</v>
      </c>
      <c r="D168" s="15">
        <f>B168*$B$16</f>
        <v>2465.78</v>
      </c>
      <c r="E168" s="15">
        <f>C168*$B$17</f>
        <v>1331.52</v>
      </c>
      <c r="F168" s="15">
        <f>(C168+D168)*$B$18</f>
        <v>1437.79</v>
      </c>
      <c r="G168" s="15">
        <f>B168*$B$19</f>
        <v>616.44</v>
      </c>
      <c r="H168" s="15">
        <f>0</f>
        <v>0.0</v>
      </c>
      <c r="I168" s="15">
        <f>B168*$B$20</f>
        <v>1438.37</v>
      </c>
      <c r="J168" s="15">
        <f>SUM(D168:I168)</f>
        <v>7289.9</v>
      </c>
      <c r="K168" s="15">
        <f>C168+J168</f>
        <v>22084.56</v>
      </c>
    </row>
    <row r="169" spans="1:11" ht="18" customHeight="1">
      <c r="A169" s="14" t="s">
        <v>317</v>
      </c>
      <c r="B169" s="15">
        <f>'PLANILLA'!B169*(1+$B$275)</f>
        <v>1077.69</v>
      </c>
      <c r="C169" s="15">
        <f>B169*12</f>
        <v>12932.32</v>
      </c>
      <c r="D169" s="15">
        <f>B169*$B$16</f>
        <v>2155.39</v>
      </c>
      <c r="E169" s="15">
        <f>C169*$B$17</f>
        <v>1163.91</v>
      </c>
      <c r="F169" s="15">
        <f>(C169+D169)*$B$18</f>
        <v>1256.81</v>
      </c>
      <c r="G169" s="15">
        <f>B169*$B$19</f>
        <v>538.85</v>
      </c>
      <c r="H169" s="15">
        <f>0</f>
        <v>0.0</v>
      </c>
      <c r="I169" s="15">
        <f>B169*$B$20</f>
        <v>1257.31</v>
      </c>
      <c r="J169" s="15">
        <f>SUM(D169:I169)</f>
        <v>6372.26</v>
      </c>
      <c r="K169" s="15">
        <f>C169+J169</f>
        <v>19304.58</v>
      </c>
    </row>
    <row r="170" spans="1:11" ht="18" customHeight="1">
      <c r="A170" s="8" t="s">
        <v>298</v>
      </c>
      <c r="K170" s="8">
        <f>SUM(K167:K169)</f>
        <v>144910.51</v>
      </c>
    </row>
    <row r="171" spans="1:11" ht="18" customHeight="1">
      <c r="A171" s="3" t="s">
        <v>299</v>
      </c>
    </row>
    <row r="172" spans="1:11" ht="18" customHeight="1">
      <c r="A172" s="14" t="s">
        <v>300</v>
      </c>
      <c r="B172" s="15">
        <f>'PLANILLA'!B172</f>
        <v>4020.29</v>
      </c>
      <c r="C172" s="15">
        <f>B172*12</f>
        <v>48243.44</v>
      </c>
      <c r="D172" s="15">
        <f>B172*$B$16</f>
        <v>8040.57</v>
      </c>
      <c r="E172" s="15">
        <f>C172*$B$17</f>
        <v>4341.91</v>
      </c>
      <c r="F172" s="15">
        <f>(C172+D172)*$B$18</f>
        <v>4688.46</v>
      </c>
      <c r="G172" s="15">
        <f>B172*$B$19</f>
        <v>2010.14</v>
      </c>
      <c r="H172" s="15">
        <f>0</f>
        <v>0.0</v>
      </c>
      <c r="I172" s="15">
        <f>B172*$B$20</f>
        <v>4690.33</v>
      </c>
      <c r="J172" s="15">
        <f>SUM(D172:I172)</f>
        <v>23771.42</v>
      </c>
      <c r="K172" s="15">
        <f>C172+J172</f>
        <v>72014.86</v>
      </c>
    </row>
    <row r="173" spans="1:11" ht="18" customHeight="1">
      <c r="A173" s="14" t="s">
        <v>301</v>
      </c>
      <c r="B173" s="15">
        <f>'PLANILLA'!B173</f>
        <v>3015.22</v>
      </c>
      <c r="C173" s="15">
        <f>B173*12</f>
        <v>36182.58</v>
      </c>
      <c r="D173" s="15">
        <f>B173*$B$16</f>
        <v>6030.43</v>
      </c>
      <c r="E173" s="15">
        <f>C173*$B$17</f>
        <v>3256.43</v>
      </c>
      <c r="F173" s="15">
        <f>(C173+D173)*$B$18</f>
        <v>3516.34</v>
      </c>
      <c r="G173" s="15">
        <f>B173*$B$19</f>
        <v>1507.61</v>
      </c>
      <c r="H173" s="15">
        <f>0</f>
        <v>0.0</v>
      </c>
      <c r="I173" s="15">
        <f>B173*$B$20</f>
        <v>3517.75</v>
      </c>
      <c r="J173" s="15">
        <f>SUM(D173:I173)</f>
        <v>17828.57</v>
      </c>
      <c r="K173" s="15">
        <f>C173+J173</f>
        <v>54011.15</v>
      </c>
    </row>
    <row r="174" spans="1:11" ht="18" customHeight="1">
      <c r="A174" s="14" t="s">
        <v>311</v>
      </c>
      <c r="B174" s="15">
        <f>'PLANILLA'!B174</f>
        <v>3190.7</v>
      </c>
      <c r="C174" s="15">
        <f>B174*12</f>
        <v>38288.45</v>
      </c>
      <c r="D174" s="15">
        <f>B174*$B$16</f>
        <v>6381.41</v>
      </c>
      <c r="E174" s="15">
        <f>C174*$B$17</f>
        <v>3445.96</v>
      </c>
      <c r="F174" s="15">
        <f>(C174+D174)*$B$18</f>
        <v>3721.0</v>
      </c>
      <c r="G174" s="15">
        <f>B174*$B$19</f>
        <v>1595.35</v>
      </c>
      <c r="H174" s="15">
        <f>0</f>
        <v>0.0</v>
      </c>
      <c r="I174" s="15">
        <f>B174*$B$20</f>
        <v>3722.49</v>
      </c>
      <c r="J174" s="15">
        <f>SUM(D174:I174)</f>
        <v>18866.21</v>
      </c>
      <c r="K174" s="15">
        <f>C174+J174</f>
        <v>57154.65</v>
      </c>
    </row>
    <row r="175" spans="1:11" ht="18" customHeight="1">
      <c r="A175" s="14" t="s">
        <v>313</v>
      </c>
      <c r="B175" s="15">
        <f>'PLANILLA'!B175</f>
        <v>1033.18</v>
      </c>
      <c r="C175" s="15">
        <f>B175*12</f>
        <v>12398.16</v>
      </c>
      <c r="D175" s="15">
        <f>B175*$B$16</f>
        <v>2066.36</v>
      </c>
      <c r="E175" s="15">
        <f>C175*$B$17</f>
        <v>1115.83</v>
      </c>
      <c r="F175" s="15">
        <f>(C175+D175)*$B$18</f>
        <v>1204.89</v>
      </c>
      <c r="G175" s="15">
        <f>B175*$B$19</f>
        <v>516.59</v>
      </c>
      <c r="H175" s="15">
        <f>0</f>
        <v>0.0</v>
      </c>
      <c r="I175" s="15">
        <f>B175*$B$20</f>
        <v>1205.38</v>
      </c>
      <c r="J175" s="15">
        <f>SUM(D175:I175)</f>
        <v>6109.06</v>
      </c>
      <c r="K175" s="15">
        <f>C175+J175</f>
        <v>18507.22</v>
      </c>
    </row>
    <row r="176" spans="1:11" ht="18" customHeight="1">
      <c r="A176" s="14" t="s">
        <v>319</v>
      </c>
      <c r="B176" s="15">
        <f>'PLANILLA'!B176</f>
        <v>892.5</v>
      </c>
      <c r="C176" s="15">
        <f>B176*12</f>
        <v>10710.0</v>
      </c>
      <c r="D176" s="15">
        <f>B176*$B$16</f>
        <v>1785.0</v>
      </c>
      <c r="E176" s="15">
        <f>C176*$B$17</f>
        <v>963.9</v>
      </c>
      <c r="F176" s="15">
        <f>(C176+D176)*$B$18</f>
        <v>1040.83</v>
      </c>
      <c r="G176" s="15">
        <f>B176*$B$19</f>
        <v>446.25</v>
      </c>
      <c r="H176" s="15">
        <f>0</f>
        <v>0.0</v>
      </c>
      <c r="I176" s="15">
        <f>B176*$B$20</f>
        <v>1041.25</v>
      </c>
      <c r="J176" s="15">
        <f>SUM(D176:I176)</f>
        <v>5277.23</v>
      </c>
      <c r="K176" s="15">
        <f>C176+J176</f>
        <v>15987.23</v>
      </c>
    </row>
    <row r="177" spans="1:11" ht="18" customHeight="1">
      <c r="A177" s="8" t="s">
        <v>302</v>
      </c>
      <c r="K177" s="8">
        <f>SUM(K172:K176)</f>
        <v>217675.12</v>
      </c>
    </row>
    <row r="178" spans="1:11" ht="18" customHeight="1">
      <c r="A178" s="3" t="s">
        <v>303</v>
      </c>
    </row>
    <row r="179" spans="1:11" ht="18" customHeight="1">
      <c r="A179" s="14" t="s">
        <v>304</v>
      </c>
      <c r="B179" s="15">
        <f>'PLANILLA'!B179</f>
        <v>1139.08</v>
      </c>
      <c r="C179" s="15">
        <f>B179*12</f>
        <v>13668.98</v>
      </c>
      <c r="D179" s="15">
        <f>B179*$B$16</f>
        <v>2278.16</v>
      </c>
      <c r="E179" s="15">
        <f>C179*$B$17</f>
        <v>1230.21</v>
      </c>
      <c r="F179" s="15">
        <f>(C179+D179)*$B$18</f>
        <v>1328.4</v>
      </c>
      <c r="G179" s="15">
        <f>B179*$B$19</f>
        <v>569.54</v>
      </c>
      <c r="H179" s="15">
        <f>0</f>
        <v>0.0</v>
      </c>
      <c r="I179" s="15">
        <f>B179*$B$20</f>
        <v>1328.93</v>
      </c>
      <c r="J179" s="15">
        <f>SUM(D179:I179)</f>
        <v>6735.24</v>
      </c>
      <c r="K179" s="15">
        <f>C179+J179</f>
        <v>20404.21</v>
      </c>
    </row>
    <row r="180" spans="1:11" ht="18" customHeight="1">
      <c r="A180" s="14" t="s">
        <v>315</v>
      </c>
      <c r="B180" s="15">
        <f>'PLANILLA'!B180</f>
        <v>983.98</v>
      </c>
      <c r="C180" s="15">
        <f>B180*12</f>
        <v>11807.78</v>
      </c>
      <c r="D180" s="15">
        <f>B180*$B$16</f>
        <v>1967.96</v>
      </c>
      <c r="E180" s="15">
        <f>C180*$B$17</f>
        <v>1062.7</v>
      </c>
      <c r="F180" s="15">
        <f>(C180+D180)*$B$18</f>
        <v>1147.52</v>
      </c>
      <c r="G180" s="15">
        <f>B180*$B$19</f>
        <v>491.99</v>
      </c>
      <c r="H180" s="15">
        <f>0</f>
        <v>0.0</v>
      </c>
      <c r="I180" s="15">
        <f>B180*$B$20</f>
        <v>1147.98</v>
      </c>
      <c r="J180" s="15">
        <f>SUM(D180:I180)</f>
        <v>5818.15</v>
      </c>
      <c r="K180" s="15">
        <f>C180+J180</f>
        <v>17625.92</v>
      </c>
    </row>
    <row r="181" spans="1:11" ht="18" customHeight="1">
      <c r="A181" s="8" t="s">
        <v>305</v>
      </c>
      <c r="K181" s="8">
        <f>SUM(K179:K180)</f>
        <v>38030.14</v>
      </c>
    </row>
    <row r="183" spans="1:11" ht="18" customHeight="1">
      <c r="A183" s="16" t="s">
        <v>306</v>
      </c>
      <c r="B183" s="16"/>
      <c r="C183" s="16"/>
      <c r="D183" s="16"/>
      <c r="E183" s="16"/>
      <c r="F183" s="16"/>
      <c r="G183" s="16"/>
      <c r="H183" s="16"/>
      <c r="I183" s="16"/>
      <c r="J183" s="16"/>
      <c r="K183" s="16"/>
    </row>
    <row r="184" spans="1:11" ht="18" customHeight="1">
      <c r="A184" s="16" t="s">
        <v>307</v>
      </c>
      <c r="B184" s="16"/>
      <c r="C184" s="16"/>
      <c r="D184" s="16"/>
      <c r="E184" s="16"/>
      <c r="F184" s="16"/>
      <c r="G184" s="16"/>
      <c r="H184" s="16"/>
      <c r="I184" s="16"/>
      <c r="J184" s="16"/>
      <c r="K184" s="17">
        <f>K172</f>
        <v>72014.86</v>
      </c>
    </row>
    <row r="185" spans="1:11" ht="18" customHeight="1">
      <c r="A185" s="16" t="s">
        <v>233</v>
      </c>
      <c r="B185" s="16"/>
      <c r="C185" s="16"/>
      <c r="D185" s="16"/>
      <c r="E185" s="16"/>
      <c r="F185" s="16"/>
      <c r="G185" s="16"/>
      <c r="H185" s="16"/>
      <c r="I185" s="16"/>
      <c r="J185" s="16"/>
      <c r="K185" s="17">
        <f>K173+K174+K175+K176</f>
        <v>145660.26</v>
      </c>
    </row>
    <row r="186" spans="1:11" ht="18" customHeight="1">
      <c r="A186" s="16" t="s">
        <v>308</v>
      </c>
      <c r="B186" s="16"/>
      <c r="C186" s="16"/>
      <c r="D186" s="16"/>
      <c r="E186" s="16"/>
      <c r="F186" s="16"/>
      <c r="G186" s="16"/>
      <c r="H186" s="16"/>
      <c r="I186" s="16"/>
      <c r="J186" s="16"/>
      <c r="K186" s="18">
        <f>SUM(K184:K185)</f>
        <v>217675.12</v>
      </c>
    </row>
    <row r="187" spans="1:11" ht="30" customHeight="1">
      <c r="A187" s="19" t="s">
        <v>309</v>
      </c>
      <c r="B187" s="19"/>
      <c r="C187" s="19"/>
      <c r="D187" s="19"/>
      <c r="E187" s="19"/>
      <c r="F187" s="19"/>
      <c r="G187" s="19"/>
      <c r="H187" s="19"/>
      <c r="I187" s="19"/>
      <c r="J187" s="19"/>
      <c r="K187" s="19"/>
    </row>
    <row r="190" spans="1:11" ht="20" customHeight="1">
      <c r="A190" s="3" t="s">
        <v>321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</row>
    <row r="191" spans="1:11" ht="18" customHeight="1">
      <c r="A191" s="4" t="s">
        <v>284</v>
      </c>
      <c r="B191" s="4" t="s">
        <v>285</v>
      </c>
      <c r="C191" s="4" t="s">
        <v>286</v>
      </c>
      <c r="D191" s="4" t="s">
        <v>287</v>
      </c>
      <c r="E191" s="4" t="s">
        <v>288</v>
      </c>
      <c r="F191" s="4" t="s">
        <v>289</v>
      </c>
      <c r="G191" s="4" t="s">
        <v>290</v>
      </c>
      <c r="H191" s="4" t="s">
        <v>291</v>
      </c>
      <c r="I191" s="4" t="s">
        <v>292</v>
      </c>
      <c r="J191" s="4" t="s">
        <v>293</v>
      </c>
      <c r="K191" s="4" t="s">
        <v>294</v>
      </c>
    </row>
    <row r="192" spans="1:11" ht="18" customHeight="1">
      <c r="A192" s="3" t="s">
        <v>295</v>
      </c>
    </row>
    <row r="193" spans="1:11" ht="18" customHeight="1">
      <c r="A193" s="14" t="s">
        <v>296</v>
      </c>
      <c r="B193" s="15">
        <f>'PLANILLA'!B193*(1+$B$275)</f>
        <v>6068.12</v>
      </c>
      <c r="C193" s="15">
        <f>B193*12</f>
        <v>72817.45</v>
      </c>
      <c r="D193" s="15">
        <f>B193*$B$16</f>
        <v>12136.24</v>
      </c>
      <c r="E193" s="15">
        <f>C193*$B$17</f>
        <v>6553.57</v>
      </c>
      <c r="F193" s="15">
        <f>(C193+D193)*$B$18</f>
        <v>7076.64</v>
      </c>
      <c r="G193" s="15">
        <f>B193*$B$19</f>
        <v>3034.06</v>
      </c>
      <c r="H193" s="15">
        <f>0</f>
        <v>0.0</v>
      </c>
      <c r="I193" s="15">
        <f>B193*$B$20</f>
        <v>7079.47</v>
      </c>
      <c r="J193" s="15">
        <f>SUM(D193:I193)</f>
        <v>35879.99</v>
      </c>
      <c r="K193" s="15">
        <f>C193+J193</f>
        <v>108697.43</v>
      </c>
    </row>
    <row r="194" spans="1:11" ht="18" customHeight="1">
      <c r="A194" s="14" t="s">
        <v>297</v>
      </c>
      <c r="B194" s="15">
        <f>'PLANILLA'!B194*(1+$B$275)</f>
        <v>1294.53</v>
      </c>
      <c r="C194" s="15">
        <f>B194*12</f>
        <v>15534.39</v>
      </c>
      <c r="D194" s="15">
        <f>B194*$B$16</f>
        <v>2589.06</v>
      </c>
      <c r="E194" s="15">
        <f>C194*$B$17</f>
        <v>1398.09</v>
      </c>
      <c r="F194" s="15">
        <f>(C194+D194)*$B$18</f>
        <v>1509.68</v>
      </c>
      <c r="G194" s="15">
        <f>B194*$B$19</f>
        <v>647.27</v>
      </c>
      <c r="H194" s="15">
        <f>0</f>
        <v>0.0</v>
      </c>
      <c r="I194" s="15">
        <f>B194*$B$20</f>
        <v>1510.29</v>
      </c>
      <c r="J194" s="15">
        <f>SUM(D194:I194)</f>
        <v>7654.4</v>
      </c>
      <c r="K194" s="15">
        <f>C194+J194</f>
        <v>23188.79</v>
      </c>
    </row>
    <row r="195" spans="1:11" ht="18" customHeight="1">
      <c r="A195" s="14" t="s">
        <v>317</v>
      </c>
      <c r="B195" s="15">
        <f>'PLANILLA'!B195*(1+$B$275)</f>
        <v>1131.58</v>
      </c>
      <c r="C195" s="15">
        <f>B195*12</f>
        <v>13578.94</v>
      </c>
      <c r="D195" s="15">
        <f>B195*$B$16</f>
        <v>2263.16</v>
      </c>
      <c r="E195" s="15">
        <f>C195*$B$17</f>
        <v>1222.1</v>
      </c>
      <c r="F195" s="15">
        <f>(C195+D195)*$B$18</f>
        <v>1319.65</v>
      </c>
      <c r="G195" s="15">
        <f>B195*$B$19</f>
        <v>565.79</v>
      </c>
      <c r="H195" s="15">
        <f>0</f>
        <v>0.0</v>
      </c>
      <c r="I195" s="15">
        <f>B195*$B$20</f>
        <v>1320.17</v>
      </c>
      <c r="J195" s="15">
        <f>SUM(D195:I195)</f>
        <v>6690.87</v>
      </c>
      <c r="K195" s="15">
        <f>C195+J195</f>
        <v>20269.81</v>
      </c>
    </row>
    <row r="196" spans="1:11" ht="18" customHeight="1">
      <c r="A196" s="8" t="s">
        <v>298</v>
      </c>
      <c r="K196" s="8">
        <f>SUM(K193:K195)</f>
        <v>152156.03</v>
      </c>
    </row>
    <row r="197" spans="1:11" ht="18" customHeight="1">
      <c r="A197" s="3" t="s">
        <v>299</v>
      </c>
    </row>
    <row r="198" spans="1:11" ht="18" customHeight="1">
      <c r="A198" s="14" t="s">
        <v>300</v>
      </c>
      <c r="B198" s="15">
        <f>'PLANILLA'!B198</f>
        <v>4221.3</v>
      </c>
      <c r="C198" s="15">
        <f>B198*12</f>
        <v>50655.62</v>
      </c>
      <c r="D198" s="15">
        <f>B198*$B$16</f>
        <v>8442.6</v>
      </c>
      <c r="E198" s="15">
        <f>C198*$B$17</f>
        <v>4559.01</v>
      </c>
      <c r="F198" s="15">
        <f>(C198+D198)*$B$18</f>
        <v>4922.88</v>
      </c>
      <c r="G198" s="15">
        <f>B198*$B$19</f>
        <v>2110.65</v>
      </c>
      <c r="H198" s="15">
        <f>0</f>
        <v>0.0</v>
      </c>
      <c r="I198" s="15">
        <f>B198*$B$20</f>
        <v>4924.85</v>
      </c>
      <c r="J198" s="15">
        <f>SUM(D198:I198)</f>
        <v>24959.99</v>
      </c>
      <c r="K198" s="15">
        <f>C198+J198</f>
        <v>75615.61</v>
      </c>
    </row>
    <row r="199" spans="1:11" ht="18" customHeight="1">
      <c r="A199" s="14" t="s">
        <v>301</v>
      </c>
      <c r="B199" s="15">
        <f>'PLANILLA'!B199</f>
        <v>3165.98</v>
      </c>
      <c r="C199" s="15">
        <f>B199*12</f>
        <v>37991.71</v>
      </c>
      <c r="D199" s="15">
        <f>B199*$B$16</f>
        <v>6331.95</v>
      </c>
      <c r="E199" s="15">
        <f>C199*$B$17</f>
        <v>3419.25</v>
      </c>
      <c r="F199" s="15">
        <f>(C199+D199)*$B$18</f>
        <v>3692.16</v>
      </c>
      <c r="G199" s="15">
        <f>B199*$B$19</f>
        <v>1582.99</v>
      </c>
      <c r="H199" s="15">
        <f>0</f>
        <v>0.0</v>
      </c>
      <c r="I199" s="15">
        <f>B199*$B$20</f>
        <v>3693.64</v>
      </c>
      <c r="J199" s="15">
        <f>SUM(D199:I199)</f>
        <v>18719.99</v>
      </c>
      <c r="K199" s="15">
        <f>C199+J199</f>
        <v>56711.71</v>
      </c>
    </row>
    <row r="200" spans="1:11" ht="18" customHeight="1">
      <c r="A200" s="14" t="s">
        <v>311</v>
      </c>
      <c r="B200" s="15">
        <f>'PLANILLA'!B200</f>
        <v>3350.24</v>
      </c>
      <c r="C200" s="15">
        <f>B200*12</f>
        <v>40202.87</v>
      </c>
      <c r="D200" s="15">
        <f>B200*$B$16</f>
        <v>6700.48</v>
      </c>
      <c r="E200" s="15">
        <f>C200*$B$17</f>
        <v>3618.26</v>
      </c>
      <c r="F200" s="15">
        <f>(C200+D200)*$B$18</f>
        <v>3907.05</v>
      </c>
      <c r="G200" s="15">
        <f>B200*$B$19</f>
        <v>1675.12</v>
      </c>
      <c r="H200" s="15">
        <f>0</f>
        <v>0.0</v>
      </c>
      <c r="I200" s="15">
        <f>B200*$B$20</f>
        <v>3908.61</v>
      </c>
      <c r="J200" s="15">
        <f>SUM(D200:I200)</f>
        <v>19809.52</v>
      </c>
      <c r="K200" s="15">
        <f>C200+J200</f>
        <v>60012.39</v>
      </c>
    </row>
    <row r="201" spans="1:11" ht="18" customHeight="1">
      <c r="A201" s="14" t="s">
        <v>313</v>
      </c>
      <c r="B201" s="15">
        <f>'PLANILLA'!B201</f>
        <v>1084.84</v>
      </c>
      <c r="C201" s="15">
        <f>B201*12</f>
        <v>13018.07</v>
      </c>
      <c r="D201" s="15">
        <f>B201*$B$16</f>
        <v>2169.68</v>
      </c>
      <c r="E201" s="15">
        <f>C201*$B$17</f>
        <v>1171.63</v>
      </c>
      <c r="F201" s="15">
        <f>(C201+D201)*$B$18</f>
        <v>1265.14</v>
      </c>
      <c r="G201" s="15">
        <f>B201*$B$19</f>
        <v>542.42</v>
      </c>
      <c r="H201" s="15">
        <f>0</f>
        <v>0.0</v>
      </c>
      <c r="I201" s="15">
        <f>B201*$B$20</f>
        <v>1265.65</v>
      </c>
      <c r="J201" s="15">
        <f>SUM(D201:I201)</f>
        <v>6414.51</v>
      </c>
      <c r="K201" s="15">
        <f>C201+J201</f>
        <v>19432.58</v>
      </c>
    </row>
    <row r="202" spans="1:11" ht="18" customHeight="1">
      <c r="A202" s="14" t="s">
        <v>319</v>
      </c>
      <c r="B202" s="15">
        <f>'PLANILLA'!B202</f>
        <v>937.12</v>
      </c>
      <c r="C202" s="15">
        <f>B202*12</f>
        <v>11245.5</v>
      </c>
      <c r="D202" s="15">
        <f>B202*$B$16</f>
        <v>1874.25</v>
      </c>
      <c r="E202" s="15">
        <f>C202*$B$17</f>
        <v>1012.09</v>
      </c>
      <c r="F202" s="15">
        <f>(C202+D202)*$B$18</f>
        <v>1092.88</v>
      </c>
      <c r="G202" s="15">
        <f>B202*$B$19</f>
        <v>468.56</v>
      </c>
      <c r="H202" s="15">
        <f>0</f>
        <v>0.0</v>
      </c>
      <c r="I202" s="15">
        <f>B202*$B$20</f>
        <v>1093.31</v>
      </c>
      <c r="J202" s="15">
        <f>SUM(D202:I202)</f>
        <v>5541.1</v>
      </c>
      <c r="K202" s="15">
        <f>C202+J202</f>
        <v>16786.6</v>
      </c>
    </row>
    <row r="203" spans="1:11" ht="18" customHeight="1">
      <c r="A203" s="14" t="s">
        <v>322</v>
      </c>
      <c r="B203" s="15">
        <f>'PLANILLA'!B203</f>
        <v>2500.0</v>
      </c>
      <c r="C203" s="15">
        <f>B203*12</f>
        <v>30000.0</v>
      </c>
      <c r="D203" s="15">
        <f>B203*$B$16</f>
        <v>5000.0</v>
      </c>
      <c r="E203" s="15">
        <f>C203*$B$17</f>
        <v>2700.0</v>
      </c>
      <c r="F203" s="15">
        <f>(C203+D203)*$B$18</f>
        <v>2915.5</v>
      </c>
      <c r="G203" s="15">
        <f>B203*$B$19</f>
        <v>1250.0</v>
      </c>
      <c r="H203" s="15">
        <f>0</f>
        <v>0.0</v>
      </c>
      <c r="I203" s="15">
        <f>B203*$B$20</f>
        <v>2916.67</v>
      </c>
      <c r="J203" s="15">
        <f>SUM(D203:I203)</f>
        <v>14782.17</v>
      </c>
      <c r="K203" s="15">
        <f>C203+J203</f>
        <v>44782.17</v>
      </c>
    </row>
    <row r="204" spans="1:11" ht="18" customHeight="1">
      <c r="A204" s="8" t="s">
        <v>302</v>
      </c>
      <c r="K204" s="8">
        <f>SUM(K198:K203)</f>
        <v>273341.04</v>
      </c>
    </row>
    <row r="205" spans="1:11" ht="18" customHeight="1">
      <c r="A205" s="3" t="s">
        <v>303</v>
      </c>
    </row>
    <row r="206" spans="1:11" ht="18" customHeight="1">
      <c r="A206" s="14" t="s">
        <v>304</v>
      </c>
      <c r="B206" s="15">
        <f>'PLANILLA'!B206</f>
        <v>1196.04</v>
      </c>
      <c r="C206" s="15">
        <f>B206*12</f>
        <v>14352.42</v>
      </c>
      <c r="D206" s="15">
        <f>B206*$B$16</f>
        <v>2392.07</v>
      </c>
      <c r="E206" s="15">
        <f>C206*$B$17</f>
        <v>1291.72</v>
      </c>
      <c r="F206" s="15">
        <f>(C206+D206)*$B$18</f>
        <v>1394.82</v>
      </c>
      <c r="G206" s="15">
        <f>B206*$B$19</f>
        <v>598.02</v>
      </c>
      <c r="H206" s="15">
        <f>0</f>
        <v>0.0</v>
      </c>
      <c r="I206" s="15">
        <f>B206*$B$20</f>
        <v>1395.37</v>
      </c>
      <c r="J206" s="15">
        <f>SUM(D206:I206)</f>
        <v>7072.0</v>
      </c>
      <c r="K206" s="15">
        <f>C206+J206</f>
        <v>21424.42</v>
      </c>
    </row>
    <row r="207" spans="1:11" ht="18" customHeight="1">
      <c r="A207" s="14" t="s">
        <v>315</v>
      </c>
      <c r="B207" s="15">
        <f>'PLANILLA'!B207</f>
        <v>1033.18</v>
      </c>
      <c r="C207" s="15">
        <f>B207*12</f>
        <v>12398.16</v>
      </c>
      <c r="D207" s="15">
        <f>B207*$B$16</f>
        <v>2066.36</v>
      </c>
      <c r="E207" s="15">
        <f>C207*$B$17</f>
        <v>1115.83</v>
      </c>
      <c r="F207" s="15">
        <f>(C207+D207)*$B$18</f>
        <v>1204.89</v>
      </c>
      <c r="G207" s="15">
        <f>B207*$B$19</f>
        <v>516.59</v>
      </c>
      <c r="H207" s="15">
        <f>0</f>
        <v>0.0</v>
      </c>
      <c r="I207" s="15">
        <f>B207*$B$20</f>
        <v>1205.38</v>
      </c>
      <c r="J207" s="15">
        <f>SUM(D207:I207)</f>
        <v>6109.06</v>
      </c>
      <c r="K207" s="15">
        <f>C207+J207</f>
        <v>18507.22</v>
      </c>
    </row>
    <row r="208" spans="1:11" ht="18" customHeight="1">
      <c r="A208" s="14" t="s">
        <v>323</v>
      </c>
      <c r="B208" s="15">
        <f>'PLANILLA'!B208</f>
        <v>850.0</v>
      </c>
      <c r="C208" s="15">
        <f>B208*12</f>
        <v>10200.0</v>
      </c>
      <c r="D208" s="15">
        <f>B208*$B$16</f>
        <v>1700.0</v>
      </c>
      <c r="E208" s="15">
        <f>C208*$B$17</f>
        <v>918.0</v>
      </c>
      <c r="F208" s="15">
        <f>(C208+D208)*$B$18</f>
        <v>991.27</v>
      </c>
      <c r="G208" s="15">
        <f>B208*$B$19</f>
        <v>425.0</v>
      </c>
      <c r="H208" s="15">
        <f>0</f>
        <v>0.0</v>
      </c>
      <c r="I208" s="15">
        <f>B208*$B$20</f>
        <v>991.67</v>
      </c>
      <c r="J208" s="15">
        <f>SUM(D208:I208)</f>
        <v>5025.94</v>
      </c>
      <c r="K208" s="15">
        <f>C208+J208</f>
        <v>15225.94</v>
      </c>
    </row>
    <row r="209" spans="1:11" ht="18" customHeight="1">
      <c r="A209" s="8" t="s">
        <v>305</v>
      </c>
      <c r="K209" s="8">
        <f>SUM(K206:K208)</f>
        <v>55157.58</v>
      </c>
    </row>
    <row r="211" spans="1:11" ht="18" customHeight="1">
      <c r="A211" s="16" t="s">
        <v>306</v>
      </c>
      <c r="B211" s="16"/>
      <c r="C211" s="16"/>
      <c r="D211" s="16"/>
      <c r="E211" s="16"/>
      <c r="F211" s="16"/>
      <c r="G211" s="16"/>
      <c r="H211" s="16"/>
      <c r="I211" s="16"/>
      <c r="J211" s="16"/>
      <c r="K211" s="16"/>
    </row>
    <row r="212" spans="1:11" ht="18" customHeight="1">
      <c r="A212" s="16" t="s">
        <v>307</v>
      </c>
      <c r="B212" s="16"/>
      <c r="C212" s="16"/>
      <c r="D212" s="16"/>
      <c r="E212" s="16"/>
      <c r="F212" s="16"/>
      <c r="G212" s="16"/>
      <c r="H212" s="16"/>
      <c r="I212" s="16"/>
      <c r="J212" s="16"/>
      <c r="K212" s="17">
        <f>K198</f>
        <v>75615.61</v>
      </c>
    </row>
    <row r="213" spans="1:11" ht="18" customHeight="1">
      <c r="A213" s="16" t="s">
        <v>233</v>
      </c>
      <c r="B213" s="16"/>
      <c r="C213" s="16"/>
      <c r="D213" s="16"/>
      <c r="E213" s="16"/>
      <c r="F213" s="16"/>
      <c r="G213" s="16"/>
      <c r="H213" s="16"/>
      <c r="I213" s="16"/>
      <c r="J213" s="16"/>
      <c r="K213" s="17">
        <f>K199+K200+K201+K202+K203</f>
        <v>197725.44</v>
      </c>
    </row>
    <row r="214" spans="1:11" ht="18" customHeight="1">
      <c r="A214" s="16" t="s">
        <v>308</v>
      </c>
      <c r="B214" s="16"/>
      <c r="C214" s="16"/>
      <c r="D214" s="16"/>
      <c r="E214" s="16"/>
      <c r="F214" s="16"/>
      <c r="G214" s="16"/>
      <c r="H214" s="16"/>
      <c r="I214" s="16"/>
      <c r="J214" s="16"/>
      <c r="K214" s="18">
        <f>SUM(K212:K213)</f>
        <v>273341.04</v>
      </c>
    </row>
    <row r="215" spans="1:11" ht="30" customHeight="1">
      <c r="A215" s="19" t="s">
        <v>309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</row>
    <row r="218" spans="1:11" ht="20" customHeight="1">
      <c r="A218" s="3" t="s">
        <v>324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</row>
    <row r="219" spans="1:11" ht="18" customHeight="1">
      <c r="A219" s="4" t="s">
        <v>284</v>
      </c>
      <c r="B219" s="4" t="s">
        <v>285</v>
      </c>
      <c r="C219" s="4" t="s">
        <v>286</v>
      </c>
      <c r="D219" s="4" t="s">
        <v>287</v>
      </c>
      <c r="E219" s="4" t="s">
        <v>288</v>
      </c>
      <c r="F219" s="4" t="s">
        <v>289</v>
      </c>
      <c r="G219" s="4" t="s">
        <v>290</v>
      </c>
      <c r="H219" s="4" t="s">
        <v>291</v>
      </c>
      <c r="I219" s="4" t="s">
        <v>292</v>
      </c>
      <c r="J219" s="4" t="s">
        <v>293</v>
      </c>
      <c r="K219" s="4" t="s">
        <v>294</v>
      </c>
    </row>
    <row r="220" spans="1:11" ht="18" customHeight="1">
      <c r="A220" s="3" t="s">
        <v>295</v>
      </c>
    </row>
    <row r="221" spans="1:11" ht="18" customHeight="1">
      <c r="A221" s="14" t="s">
        <v>296</v>
      </c>
      <c r="B221" s="15">
        <f>'PLANILLA'!B221*(1+$B$275)</f>
        <v>6371.53</v>
      </c>
      <c r="C221" s="15">
        <f>B221*12</f>
        <v>76458.32</v>
      </c>
      <c r="D221" s="15">
        <f>B221*$B$16</f>
        <v>12743.05</v>
      </c>
      <c r="E221" s="15">
        <f>C221*$B$17</f>
        <v>6881.25</v>
      </c>
      <c r="F221" s="15">
        <f>(C221+D221)*$B$18</f>
        <v>7430.47</v>
      </c>
      <c r="G221" s="15">
        <f>B221*$B$19</f>
        <v>3185.76</v>
      </c>
      <c r="H221" s="15">
        <f>0</f>
        <v>0.0</v>
      </c>
      <c r="I221" s="15">
        <f>B221*$B$20</f>
        <v>7433.45</v>
      </c>
      <c r="J221" s="15">
        <f>SUM(D221:I221)</f>
        <v>37673.99</v>
      </c>
      <c r="K221" s="15">
        <f>C221+J221</f>
        <v>114132.31</v>
      </c>
    </row>
    <row r="222" spans="1:11" ht="18" customHeight="1">
      <c r="A222" s="14" t="s">
        <v>297</v>
      </c>
      <c r="B222" s="15">
        <f>'PLANILLA'!B222*(1+$B$275)</f>
        <v>1359.26</v>
      </c>
      <c r="C222" s="15">
        <f>B222*12</f>
        <v>16311.11</v>
      </c>
      <c r="D222" s="15">
        <f>B222*$B$16</f>
        <v>2718.52</v>
      </c>
      <c r="E222" s="15">
        <f>C222*$B$17</f>
        <v>1468.0</v>
      </c>
      <c r="F222" s="15">
        <f>(C222+D222)*$B$18</f>
        <v>1585.17</v>
      </c>
      <c r="G222" s="15">
        <f>B222*$B$19</f>
        <v>679.63</v>
      </c>
      <c r="H222" s="15">
        <f>0</f>
        <v>0.0</v>
      </c>
      <c r="I222" s="15">
        <f>B222*$B$20</f>
        <v>1585.8</v>
      </c>
      <c r="J222" s="15">
        <f>SUM(D222:I222)</f>
        <v>8037.12</v>
      </c>
      <c r="K222" s="15">
        <f>C222+J222</f>
        <v>24348.23</v>
      </c>
    </row>
    <row r="223" spans="1:11" ht="18" customHeight="1">
      <c r="A223" s="14" t="s">
        <v>317</v>
      </c>
      <c r="B223" s="15">
        <f>'PLANILLA'!B223*(1+$B$275)</f>
        <v>1188.16</v>
      </c>
      <c r="C223" s="15">
        <f>B223*12</f>
        <v>14257.89</v>
      </c>
      <c r="D223" s="15">
        <f>B223*$B$16</f>
        <v>2376.31</v>
      </c>
      <c r="E223" s="15">
        <f>C223*$B$17</f>
        <v>1283.21</v>
      </c>
      <c r="F223" s="15">
        <f>(C223+D223)*$B$18</f>
        <v>1385.63</v>
      </c>
      <c r="G223" s="15">
        <f>B223*$B$19</f>
        <v>594.08</v>
      </c>
      <c r="H223" s="15">
        <f>0</f>
        <v>0.0</v>
      </c>
      <c r="I223" s="15">
        <f>B223*$B$20</f>
        <v>1386.18</v>
      </c>
      <c r="J223" s="15">
        <f>SUM(D223:I223)</f>
        <v>7025.42</v>
      </c>
      <c r="K223" s="15">
        <f>C223+J223</f>
        <v>21283.3</v>
      </c>
    </row>
    <row r="224" spans="1:11" ht="18" customHeight="1">
      <c r="A224" s="8" t="s">
        <v>298</v>
      </c>
      <c r="K224" s="8">
        <f>SUM(K221:K223)</f>
        <v>159763.84</v>
      </c>
    </row>
    <row r="225" spans="1:11" ht="18" customHeight="1">
      <c r="A225" s="3" t="s">
        <v>299</v>
      </c>
    </row>
    <row r="226" spans="1:11" ht="18" customHeight="1">
      <c r="A226" s="14" t="s">
        <v>300</v>
      </c>
      <c r="B226" s="15">
        <f>'PLANILLA'!B226</f>
        <v>4432.37</v>
      </c>
      <c r="C226" s="15">
        <f>B226*12</f>
        <v>53188.4</v>
      </c>
      <c r="D226" s="15">
        <f>B226*$B$16</f>
        <v>8864.73</v>
      </c>
      <c r="E226" s="15">
        <f>C226*$B$17</f>
        <v>4786.96</v>
      </c>
      <c r="F226" s="15">
        <f>(C226+D226)*$B$18</f>
        <v>5169.03</v>
      </c>
      <c r="G226" s="15">
        <f>B226*$B$19</f>
        <v>2216.18</v>
      </c>
      <c r="H226" s="15">
        <f>0</f>
        <v>0.0</v>
      </c>
      <c r="I226" s="15">
        <f>B226*$B$20</f>
        <v>5171.09</v>
      </c>
      <c r="J226" s="15">
        <f>SUM(D226:I226)</f>
        <v>26207.99</v>
      </c>
      <c r="K226" s="15">
        <f>C226+J226</f>
        <v>79396.39</v>
      </c>
    </row>
    <row r="227" spans="1:11" ht="18" customHeight="1">
      <c r="A227" s="14" t="s">
        <v>301</v>
      </c>
      <c r="B227" s="15">
        <f>'PLANILLA'!B227</f>
        <v>3324.27</v>
      </c>
      <c r="C227" s="15">
        <f>B227*12</f>
        <v>39891.3</v>
      </c>
      <c r="D227" s="15">
        <f>B227*$B$16</f>
        <v>6648.55</v>
      </c>
      <c r="E227" s="15">
        <f>C227*$B$17</f>
        <v>3590.22</v>
      </c>
      <c r="F227" s="15">
        <f>(C227+D227)*$B$18</f>
        <v>3876.77</v>
      </c>
      <c r="G227" s="15">
        <f>B227*$B$19</f>
        <v>1662.14</v>
      </c>
      <c r="H227" s="15">
        <f>0</f>
        <v>0.0</v>
      </c>
      <c r="I227" s="15">
        <f>B227*$B$20</f>
        <v>3878.32</v>
      </c>
      <c r="J227" s="15">
        <f>SUM(D227:I227)</f>
        <v>19655.99</v>
      </c>
      <c r="K227" s="15">
        <f>C227+J227</f>
        <v>59547.29</v>
      </c>
    </row>
    <row r="228" spans="1:11" ht="18" customHeight="1">
      <c r="A228" s="14" t="s">
        <v>311</v>
      </c>
      <c r="B228" s="15">
        <f>'PLANILLA'!B228</f>
        <v>3517.75</v>
      </c>
      <c r="C228" s="15">
        <f>B228*12</f>
        <v>42213.01</v>
      </c>
      <c r="D228" s="15">
        <f>B228*$B$16</f>
        <v>7035.5</v>
      </c>
      <c r="E228" s="15">
        <f>C228*$B$17</f>
        <v>3799.17</v>
      </c>
      <c r="F228" s="15">
        <f>(C228+D228)*$B$18</f>
        <v>4102.4</v>
      </c>
      <c r="G228" s="15">
        <f>B228*$B$19</f>
        <v>1758.88</v>
      </c>
      <c r="H228" s="15">
        <f>0</f>
        <v>0.0</v>
      </c>
      <c r="I228" s="15">
        <f>B228*$B$20</f>
        <v>4104.04</v>
      </c>
      <c r="J228" s="15">
        <f>SUM(D228:I228)</f>
        <v>20799.99</v>
      </c>
      <c r="K228" s="15">
        <f>C228+J228</f>
        <v>63013.01</v>
      </c>
    </row>
    <row r="229" spans="1:11" ht="18" customHeight="1">
      <c r="A229" s="14" t="s">
        <v>313</v>
      </c>
      <c r="B229" s="15">
        <f>'PLANILLA'!B229</f>
        <v>1139.08</v>
      </c>
      <c r="C229" s="15">
        <f>B229*12</f>
        <v>13668.98</v>
      </c>
      <c r="D229" s="15">
        <f>B229*$B$16</f>
        <v>2278.16</v>
      </c>
      <c r="E229" s="15">
        <f>C229*$B$17</f>
        <v>1230.21</v>
      </c>
      <c r="F229" s="15">
        <f>(C229+D229)*$B$18</f>
        <v>1328.4</v>
      </c>
      <c r="G229" s="15">
        <f>B229*$B$19</f>
        <v>569.54</v>
      </c>
      <c r="H229" s="15">
        <f>0</f>
        <v>0.0</v>
      </c>
      <c r="I229" s="15">
        <f>B229*$B$20</f>
        <v>1328.93</v>
      </c>
      <c r="J229" s="15">
        <f>SUM(D229:I229)</f>
        <v>6735.24</v>
      </c>
      <c r="K229" s="15">
        <f>C229+J229</f>
        <v>20404.21</v>
      </c>
    </row>
    <row r="230" spans="1:11" ht="18" customHeight="1">
      <c r="A230" s="14" t="s">
        <v>319</v>
      </c>
      <c r="B230" s="15">
        <f>'PLANILLA'!B230</f>
        <v>983.98</v>
      </c>
      <c r="C230" s="15">
        <f>B230*12</f>
        <v>11807.78</v>
      </c>
      <c r="D230" s="15">
        <f>B230*$B$16</f>
        <v>1967.96</v>
      </c>
      <c r="E230" s="15">
        <f>C230*$B$17</f>
        <v>1062.7</v>
      </c>
      <c r="F230" s="15">
        <f>(C230+D230)*$B$18</f>
        <v>1147.52</v>
      </c>
      <c r="G230" s="15">
        <f>B230*$B$19</f>
        <v>491.99</v>
      </c>
      <c r="H230" s="15">
        <f>0</f>
        <v>0.0</v>
      </c>
      <c r="I230" s="15">
        <f>B230*$B$20</f>
        <v>1147.98</v>
      </c>
      <c r="J230" s="15">
        <f>SUM(D230:I230)</f>
        <v>5818.15</v>
      </c>
      <c r="K230" s="15">
        <f>C230+J230</f>
        <v>17625.92</v>
      </c>
    </row>
    <row r="231" spans="1:11" ht="18" customHeight="1">
      <c r="A231" s="14" t="s">
        <v>322</v>
      </c>
      <c r="B231" s="15">
        <f>'PLANILLA'!B231</f>
        <v>2625.0</v>
      </c>
      <c r="C231" s="15">
        <f>B231*12</f>
        <v>31500.0</v>
      </c>
      <c r="D231" s="15">
        <f>B231*$B$16</f>
        <v>5250.0</v>
      </c>
      <c r="E231" s="15">
        <f>C231*$B$17</f>
        <v>2835.0</v>
      </c>
      <c r="F231" s="15">
        <f>(C231+D231)*$B$18</f>
        <v>3061.28</v>
      </c>
      <c r="G231" s="15">
        <f>B231*$B$19</f>
        <v>1312.5</v>
      </c>
      <c r="H231" s="15">
        <f>0</f>
        <v>0.0</v>
      </c>
      <c r="I231" s="15">
        <f>B231*$B$20</f>
        <v>3062.5</v>
      </c>
      <c r="J231" s="15">
        <f>SUM(D231:I231)</f>
        <v>15521.27</v>
      </c>
      <c r="K231" s="15">
        <f>C231+J231</f>
        <v>47021.28</v>
      </c>
    </row>
    <row r="232" spans="1:11" ht="18" customHeight="1">
      <c r="A232" s="8" t="s">
        <v>302</v>
      </c>
      <c r="K232" s="8">
        <f>SUM(K226:K231)</f>
        <v>287008.09</v>
      </c>
    </row>
    <row r="233" spans="1:11" ht="18" customHeight="1">
      <c r="A233" s="3" t="s">
        <v>303</v>
      </c>
    </row>
    <row r="234" spans="1:11" ht="18" customHeight="1">
      <c r="A234" s="14" t="s">
        <v>304</v>
      </c>
      <c r="B234" s="15">
        <f>'PLANILLA'!B234</f>
        <v>1255.84</v>
      </c>
      <c r="C234" s="15">
        <f>B234*12</f>
        <v>15070.05</v>
      </c>
      <c r="D234" s="15">
        <f>B234*$B$16</f>
        <v>2511.67</v>
      </c>
      <c r="E234" s="15">
        <f>C234*$B$17</f>
        <v>1356.3</v>
      </c>
      <c r="F234" s="15">
        <f>(C234+D234)*$B$18</f>
        <v>1464.56</v>
      </c>
      <c r="G234" s="15">
        <f>B234*$B$19</f>
        <v>627.92</v>
      </c>
      <c r="H234" s="15">
        <f>0</f>
        <v>0.0</v>
      </c>
      <c r="I234" s="15">
        <f>B234*$B$20</f>
        <v>1465.14</v>
      </c>
      <c r="J234" s="15">
        <f>SUM(D234:I234)</f>
        <v>7425.6</v>
      </c>
      <c r="K234" s="15">
        <f>C234+J234</f>
        <v>22495.64</v>
      </c>
    </row>
    <row r="235" spans="1:11" ht="18" customHeight="1">
      <c r="A235" s="14" t="s">
        <v>315</v>
      </c>
      <c r="B235" s="15">
        <f>'PLANILLA'!B235</f>
        <v>1084.84</v>
      </c>
      <c r="C235" s="15">
        <f>B235*12</f>
        <v>13018.07</v>
      </c>
      <c r="D235" s="15">
        <f>B235*$B$16</f>
        <v>2169.68</v>
      </c>
      <c r="E235" s="15">
        <f>C235*$B$17</f>
        <v>1171.63</v>
      </c>
      <c r="F235" s="15">
        <f>(C235+D235)*$B$18</f>
        <v>1265.14</v>
      </c>
      <c r="G235" s="15">
        <f>B235*$B$19</f>
        <v>542.42</v>
      </c>
      <c r="H235" s="15">
        <f>0</f>
        <v>0.0</v>
      </c>
      <c r="I235" s="15">
        <f>B235*$B$20</f>
        <v>1265.65</v>
      </c>
      <c r="J235" s="15">
        <f>SUM(D235:I235)</f>
        <v>6414.51</v>
      </c>
      <c r="K235" s="15">
        <f>C235+J235</f>
        <v>19432.58</v>
      </c>
    </row>
    <row r="236" spans="1:11" ht="18" customHeight="1">
      <c r="A236" s="14" t="s">
        <v>323</v>
      </c>
      <c r="B236" s="15">
        <f>'PLANILLA'!B236</f>
        <v>892.5</v>
      </c>
      <c r="C236" s="15">
        <f>B236*12</f>
        <v>10710.0</v>
      </c>
      <c r="D236" s="15">
        <f>B236*$B$16</f>
        <v>1785.0</v>
      </c>
      <c r="E236" s="15">
        <f>C236*$B$17</f>
        <v>963.9</v>
      </c>
      <c r="F236" s="15">
        <f>(C236+D236)*$B$18</f>
        <v>1040.83</v>
      </c>
      <c r="G236" s="15">
        <f>B236*$B$19</f>
        <v>446.25</v>
      </c>
      <c r="H236" s="15">
        <f>0</f>
        <v>0.0</v>
      </c>
      <c r="I236" s="15">
        <f>B236*$B$20</f>
        <v>1041.25</v>
      </c>
      <c r="J236" s="15">
        <f>SUM(D236:I236)</f>
        <v>5277.23</v>
      </c>
      <c r="K236" s="15">
        <f>C236+J236</f>
        <v>15987.23</v>
      </c>
    </row>
    <row r="237" spans="1:11" ht="18" customHeight="1">
      <c r="A237" s="8" t="s">
        <v>305</v>
      </c>
      <c r="K237" s="8">
        <f>SUM(K234:K236)</f>
        <v>57915.46</v>
      </c>
    </row>
    <row r="239" spans="1:11" ht="18" customHeight="1">
      <c r="A239" s="16" t="s">
        <v>306</v>
      </c>
      <c r="B239" s="16"/>
      <c r="C239" s="16"/>
      <c r="D239" s="16"/>
      <c r="E239" s="16"/>
      <c r="F239" s="16"/>
      <c r="G239" s="16"/>
      <c r="H239" s="16"/>
      <c r="I239" s="16"/>
      <c r="J239" s="16"/>
      <c r="K239" s="16"/>
    </row>
    <row r="240" spans="1:11" ht="18" customHeight="1">
      <c r="A240" s="16" t="s">
        <v>307</v>
      </c>
      <c r="B240" s="16"/>
      <c r="C240" s="16"/>
      <c r="D240" s="16"/>
      <c r="E240" s="16"/>
      <c r="F240" s="16"/>
      <c r="G240" s="16"/>
      <c r="H240" s="16"/>
      <c r="I240" s="16"/>
      <c r="J240" s="16"/>
      <c r="K240" s="17">
        <f>K226</f>
        <v>79396.39</v>
      </c>
    </row>
    <row r="241" spans="1:11" ht="18" customHeight="1">
      <c r="A241" s="16" t="s">
        <v>233</v>
      </c>
      <c r="B241" s="16"/>
      <c r="C241" s="16"/>
      <c r="D241" s="16"/>
      <c r="E241" s="16"/>
      <c r="F241" s="16"/>
      <c r="G241" s="16"/>
      <c r="H241" s="16"/>
      <c r="I241" s="16"/>
      <c r="J241" s="16"/>
      <c r="K241" s="17">
        <f>K227+K228+K229+K230+K231</f>
        <v>207611.71</v>
      </c>
    </row>
    <row r="242" spans="1:11" ht="18" customHeight="1">
      <c r="A242" s="16" t="s">
        <v>308</v>
      </c>
      <c r="B242" s="16"/>
      <c r="C242" s="16"/>
      <c r="D242" s="16"/>
      <c r="E242" s="16"/>
      <c r="F242" s="16"/>
      <c r="G242" s="16"/>
      <c r="H242" s="16"/>
      <c r="I242" s="16"/>
      <c r="J242" s="16"/>
      <c r="K242" s="18">
        <f>SUM(K240:K241)</f>
        <v>287008.09</v>
      </c>
    </row>
    <row r="243" spans="1:11" ht="30" customHeight="1">
      <c r="A243" s="19" t="s">
        <v>309</v>
      </c>
      <c r="B243" s="19"/>
      <c r="C243" s="19"/>
      <c r="D243" s="19"/>
      <c r="E243" s="19"/>
      <c r="F243" s="19"/>
      <c r="G243" s="19"/>
      <c r="H243" s="19"/>
      <c r="I243" s="19"/>
      <c r="J243" s="19"/>
      <c r="K243" s="19"/>
    </row>
    <row r="246" spans="1:11" ht="20" customHeight="1">
      <c r="A246" s="3" t="s">
        <v>325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</row>
    <row r="247" spans="1:11" ht="18" customHeight="1">
      <c r="A247" s="4" t="s">
        <v>284</v>
      </c>
      <c r="B247" s="4" t="s">
        <v>285</v>
      </c>
      <c r="C247" s="4" t="s">
        <v>286</v>
      </c>
      <c r="D247" s="4" t="s">
        <v>287</v>
      </c>
      <c r="E247" s="4" t="s">
        <v>288</v>
      </c>
      <c r="F247" s="4" t="s">
        <v>289</v>
      </c>
      <c r="G247" s="4" t="s">
        <v>290</v>
      </c>
      <c r="H247" s="4" t="s">
        <v>291</v>
      </c>
      <c r="I247" s="4" t="s">
        <v>292</v>
      </c>
      <c r="J247" s="4" t="s">
        <v>293</v>
      </c>
      <c r="K247" s="4" t="s">
        <v>294</v>
      </c>
    </row>
    <row r="248" spans="1:11" ht="18" customHeight="1">
      <c r="A248" s="3" t="s">
        <v>295</v>
      </c>
    </row>
    <row r="249" spans="1:11" ht="18" customHeight="1">
      <c r="A249" s="14" t="s">
        <v>296</v>
      </c>
      <c r="B249" s="15">
        <f>'PLANILLA'!B249*(1+$B$275)</f>
        <v>6690.1</v>
      </c>
      <c r="C249" s="15">
        <f>B249*12</f>
        <v>80281.24</v>
      </c>
      <c r="D249" s="15">
        <f>B249*$B$16</f>
        <v>13380.21</v>
      </c>
      <c r="E249" s="15">
        <f>C249*$B$17</f>
        <v>7225.31</v>
      </c>
      <c r="F249" s="15">
        <f>(C249+D249)*$B$18</f>
        <v>7802.0</v>
      </c>
      <c r="G249" s="15">
        <f>B249*$B$19</f>
        <v>3345.05</v>
      </c>
      <c r="H249" s="15">
        <f>0</f>
        <v>0.0</v>
      </c>
      <c r="I249" s="15">
        <f>B249*$B$20</f>
        <v>7805.12</v>
      </c>
      <c r="J249" s="15">
        <f>SUM(D249:I249)</f>
        <v>39557.69</v>
      </c>
      <c r="K249" s="15">
        <f>C249+J249</f>
        <v>119838.92</v>
      </c>
    </row>
    <row r="250" spans="1:11" ht="18" customHeight="1">
      <c r="A250" s="14" t="s">
        <v>297</v>
      </c>
      <c r="B250" s="15">
        <f>'PLANILLA'!B250*(1+$B$275)</f>
        <v>1427.22</v>
      </c>
      <c r="C250" s="15">
        <f>B250*12</f>
        <v>17126.66</v>
      </c>
      <c r="D250" s="15">
        <f>B250*$B$16</f>
        <v>2854.44</v>
      </c>
      <c r="E250" s="15">
        <f>C250*$B$17</f>
        <v>1541.4</v>
      </c>
      <c r="F250" s="15">
        <f>(C250+D250)*$B$18</f>
        <v>1664.43</v>
      </c>
      <c r="G250" s="15">
        <f>B250*$B$19</f>
        <v>713.61</v>
      </c>
      <c r="H250" s="15">
        <f>0</f>
        <v>0.0</v>
      </c>
      <c r="I250" s="15">
        <f>B250*$B$20</f>
        <v>1665.09</v>
      </c>
      <c r="J250" s="15">
        <f>SUM(D250:I250)</f>
        <v>8438.97</v>
      </c>
      <c r="K250" s="15">
        <f>C250+J250</f>
        <v>25565.64</v>
      </c>
    </row>
    <row r="251" spans="1:11" ht="18" customHeight="1">
      <c r="A251" s="14" t="s">
        <v>317</v>
      </c>
      <c r="B251" s="15">
        <f>'PLANILLA'!B251*(1+$B$275)</f>
        <v>1247.57</v>
      </c>
      <c r="C251" s="15">
        <f>B251*12</f>
        <v>14970.78</v>
      </c>
      <c r="D251" s="15">
        <f>B251*$B$16</f>
        <v>2495.13</v>
      </c>
      <c r="E251" s="15">
        <f>C251*$B$17</f>
        <v>1347.37</v>
      </c>
      <c r="F251" s="15">
        <f>(C251+D251)*$B$18</f>
        <v>1454.91</v>
      </c>
      <c r="G251" s="15">
        <f>B251*$B$19</f>
        <v>623.78</v>
      </c>
      <c r="H251" s="15">
        <f>0</f>
        <v>0.0</v>
      </c>
      <c r="I251" s="15">
        <f>B251*$B$20</f>
        <v>1455.49</v>
      </c>
      <c r="J251" s="15">
        <f>SUM(D251:I251)</f>
        <v>7376.69</v>
      </c>
      <c r="K251" s="15">
        <f>C251+J251</f>
        <v>22347.47</v>
      </c>
    </row>
    <row r="252" spans="1:11" ht="18" customHeight="1">
      <c r="A252" s="8" t="s">
        <v>298</v>
      </c>
      <c r="K252" s="8">
        <f>SUM(K249:K251)</f>
        <v>167752.03</v>
      </c>
    </row>
    <row r="253" spans="1:11" ht="18" customHeight="1">
      <c r="A253" s="3" t="s">
        <v>299</v>
      </c>
    </row>
    <row r="254" spans="1:11" ht="18" customHeight="1">
      <c r="A254" s="14" t="s">
        <v>300</v>
      </c>
      <c r="B254" s="15">
        <f>'PLANILLA'!B254</f>
        <v>4653.98</v>
      </c>
      <c r="C254" s="15">
        <f>B254*12</f>
        <v>55847.82</v>
      </c>
      <c r="D254" s="15">
        <f>B254*$B$16</f>
        <v>9307.97</v>
      </c>
      <c r="E254" s="15">
        <f>C254*$B$17</f>
        <v>5026.3</v>
      </c>
      <c r="F254" s="15">
        <f>(C254+D254)*$B$18</f>
        <v>5427.48</v>
      </c>
      <c r="G254" s="15">
        <f>B254*$B$19</f>
        <v>2326.99</v>
      </c>
      <c r="H254" s="15">
        <f>0</f>
        <v>0.0</v>
      </c>
      <c r="I254" s="15">
        <f>B254*$B$20</f>
        <v>5429.65</v>
      </c>
      <c r="J254" s="15">
        <f>SUM(D254:I254)</f>
        <v>27518.39</v>
      </c>
      <c r="K254" s="15">
        <f>C254+J254</f>
        <v>83366.21</v>
      </c>
    </row>
    <row r="255" spans="1:11" ht="18" customHeight="1">
      <c r="A255" s="14" t="s">
        <v>301</v>
      </c>
      <c r="B255" s="15">
        <f>'PLANILLA'!B255</f>
        <v>3490.49</v>
      </c>
      <c r="C255" s="15">
        <f>B255*12</f>
        <v>41885.86</v>
      </c>
      <c r="D255" s="15">
        <f>B255*$B$16</f>
        <v>6980.98</v>
      </c>
      <c r="E255" s="15">
        <f>C255*$B$17</f>
        <v>3769.73</v>
      </c>
      <c r="F255" s="15">
        <f>(C255+D255)*$B$18</f>
        <v>4070.61</v>
      </c>
      <c r="G255" s="15">
        <f>B255*$B$19</f>
        <v>1745.24</v>
      </c>
      <c r="H255" s="15">
        <f>0</f>
        <v>0.0</v>
      </c>
      <c r="I255" s="15">
        <f>B255*$B$20</f>
        <v>4072.24</v>
      </c>
      <c r="J255" s="15">
        <f>SUM(D255:I255)</f>
        <v>20638.79</v>
      </c>
      <c r="K255" s="15">
        <f>C255+J255</f>
        <v>62524.65</v>
      </c>
    </row>
    <row r="256" spans="1:11" ht="18" customHeight="1">
      <c r="A256" s="14" t="s">
        <v>311</v>
      </c>
      <c r="B256" s="15">
        <f>'PLANILLA'!B256</f>
        <v>3693.64</v>
      </c>
      <c r="C256" s="15">
        <f>B256*12</f>
        <v>44323.66</v>
      </c>
      <c r="D256" s="15">
        <f>B256*$B$16</f>
        <v>7387.28</v>
      </c>
      <c r="E256" s="15">
        <f>C256*$B$17</f>
        <v>3989.13</v>
      </c>
      <c r="F256" s="15">
        <f>(C256+D256)*$B$18</f>
        <v>4307.52</v>
      </c>
      <c r="G256" s="15">
        <f>B256*$B$19</f>
        <v>1846.82</v>
      </c>
      <c r="H256" s="15">
        <f>0</f>
        <v>0.0</v>
      </c>
      <c r="I256" s="15">
        <f>B256*$B$20</f>
        <v>4309.25</v>
      </c>
      <c r="J256" s="15">
        <f>SUM(D256:I256)</f>
        <v>21839.99</v>
      </c>
      <c r="K256" s="15">
        <f>C256+J256</f>
        <v>66163.66</v>
      </c>
    </row>
    <row r="257" spans="1:11" ht="18" customHeight="1">
      <c r="A257" s="14" t="s">
        <v>313</v>
      </c>
      <c r="B257" s="15">
        <f>'PLANILLA'!B257</f>
        <v>1196.04</v>
      </c>
      <c r="C257" s="15">
        <f>B257*12</f>
        <v>14352.42</v>
      </c>
      <c r="D257" s="15">
        <f>B257*$B$16</f>
        <v>2392.07</v>
      </c>
      <c r="E257" s="15">
        <f>C257*$B$17</f>
        <v>1291.72</v>
      </c>
      <c r="F257" s="15">
        <f>(C257+D257)*$B$18</f>
        <v>1394.82</v>
      </c>
      <c r="G257" s="15">
        <f>B257*$B$19</f>
        <v>598.02</v>
      </c>
      <c r="H257" s="15">
        <f>0</f>
        <v>0.0</v>
      </c>
      <c r="I257" s="15">
        <f>B257*$B$20</f>
        <v>1395.37</v>
      </c>
      <c r="J257" s="15">
        <f>SUM(D257:I257)</f>
        <v>7072.0</v>
      </c>
      <c r="K257" s="15">
        <f>C257+J257</f>
        <v>21424.42</v>
      </c>
    </row>
    <row r="258" spans="1:11" ht="18" customHeight="1">
      <c r="A258" s="14" t="s">
        <v>319</v>
      </c>
      <c r="B258" s="15">
        <f>'PLANILLA'!B258</f>
        <v>1033.18</v>
      </c>
      <c r="C258" s="15">
        <f>B258*12</f>
        <v>12398.16</v>
      </c>
      <c r="D258" s="15">
        <f>B258*$B$16</f>
        <v>2066.36</v>
      </c>
      <c r="E258" s="15">
        <f>C258*$B$17</f>
        <v>1115.83</v>
      </c>
      <c r="F258" s="15">
        <f>(C258+D258)*$B$18</f>
        <v>1204.89</v>
      </c>
      <c r="G258" s="15">
        <f>B258*$B$19</f>
        <v>516.59</v>
      </c>
      <c r="H258" s="15">
        <f>0</f>
        <v>0.0</v>
      </c>
      <c r="I258" s="15">
        <f>B258*$B$20</f>
        <v>1205.38</v>
      </c>
      <c r="J258" s="15">
        <f>SUM(D258:I258)</f>
        <v>6109.06</v>
      </c>
      <c r="K258" s="15">
        <f>C258+J258</f>
        <v>18507.22</v>
      </c>
    </row>
    <row r="259" spans="1:11" ht="18" customHeight="1">
      <c r="A259" s="14" t="s">
        <v>322</v>
      </c>
      <c r="B259" s="15">
        <f>'PLANILLA'!B259</f>
        <v>2756.25</v>
      </c>
      <c r="C259" s="15">
        <f>B259*12</f>
        <v>33075.0</v>
      </c>
      <c r="D259" s="15">
        <f>B259*$B$16</f>
        <v>5512.5</v>
      </c>
      <c r="E259" s="15">
        <f>C259*$B$17</f>
        <v>2976.75</v>
      </c>
      <c r="F259" s="15">
        <f>(C259+D259)*$B$18</f>
        <v>3214.34</v>
      </c>
      <c r="G259" s="15">
        <f>B259*$B$19</f>
        <v>1378.12</v>
      </c>
      <c r="H259" s="15">
        <f>0</f>
        <v>0.0</v>
      </c>
      <c r="I259" s="15">
        <f>B259*$B$20</f>
        <v>3215.62</v>
      </c>
      <c r="J259" s="15">
        <f>SUM(D259:I259)</f>
        <v>16297.34</v>
      </c>
      <c r="K259" s="15">
        <f>C259+J259</f>
        <v>49372.34</v>
      </c>
    </row>
    <row r="260" spans="1:11" ht="18" customHeight="1">
      <c r="A260" s="8" t="s">
        <v>302</v>
      </c>
      <c r="K260" s="8">
        <f>SUM(K254:K259)</f>
        <v>301358.5</v>
      </c>
    </row>
    <row r="261" spans="1:11" ht="18" customHeight="1">
      <c r="A261" s="3" t="s">
        <v>303</v>
      </c>
    </row>
    <row r="262" spans="1:11" ht="18" customHeight="1">
      <c r="A262" s="14" t="s">
        <v>304</v>
      </c>
      <c r="B262" s="15">
        <f>'PLANILLA'!B262</f>
        <v>1318.63</v>
      </c>
      <c r="C262" s="15">
        <f>B262*12</f>
        <v>15823.55</v>
      </c>
      <c r="D262" s="15">
        <f>B262*$B$16</f>
        <v>2637.26</v>
      </c>
      <c r="E262" s="15">
        <f>C262*$B$17</f>
        <v>1424.12</v>
      </c>
      <c r="F262" s="15">
        <f>(C262+D262)*$B$18</f>
        <v>1537.79</v>
      </c>
      <c r="G262" s="15">
        <f>B262*$B$19</f>
        <v>659.31</v>
      </c>
      <c r="H262" s="15">
        <f>0</f>
        <v>0.0</v>
      </c>
      <c r="I262" s="15">
        <f>B262*$B$20</f>
        <v>1538.4</v>
      </c>
      <c r="J262" s="15">
        <f>SUM(D262:I262)</f>
        <v>7796.88</v>
      </c>
      <c r="K262" s="15">
        <f>C262+J262</f>
        <v>23620.43</v>
      </c>
    </row>
    <row r="263" spans="1:11" ht="18" customHeight="1">
      <c r="A263" s="14" t="s">
        <v>315</v>
      </c>
      <c r="B263" s="15">
        <f>'PLANILLA'!B263</f>
        <v>1139.08</v>
      </c>
      <c r="C263" s="15">
        <f>B263*12</f>
        <v>13668.98</v>
      </c>
      <c r="D263" s="15">
        <f>B263*$B$16</f>
        <v>2278.16</v>
      </c>
      <c r="E263" s="15">
        <f>C263*$B$17</f>
        <v>1230.21</v>
      </c>
      <c r="F263" s="15">
        <f>(C263+D263)*$B$18</f>
        <v>1328.4</v>
      </c>
      <c r="G263" s="15">
        <f>B263*$B$19</f>
        <v>569.54</v>
      </c>
      <c r="H263" s="15">
        <f>0</f>
        <v>0.0</v>
      </c>
      <c r="I263" s="15">
        <f>B263*$B$20</f>
        <v>1328.93</v>
      </c>
      <c r="J263" s="15">
        <f>SUM(D263:I263)</f>
        <v>6735.24</v>
      </c>
      <c r="K263" s="15">
        <f>C263+J263</f>
        <v>20404.21</v>
      </c>
    </row>
    <row r="264" spans="1:11" ht="18" customHeight="1">
      <c r="A264" s="14" t="s">
        <v>323</v>
      </c>
      <c r="B264" s="15">
        <f>'PLANILLA'!B264</f>
        <v>937.12</v>
      </c>
      <c r="C264" s="15">
        <f>B264*12</f>
        <v>11245.5</v>
      </c>
      <c r="D264" s="15">
        <f>B264*$B$16</f>
        <v>1874.25</v>
      </c>
      <c r="E264" s="15">
        <f>C264*$B$17</f>
        <v>1012.09</v>
      </c>
      <c r="F264" s="15">
        <f>(C264+D264)*$B$18</f>
        <v>1092.88</v>
      </c>
      <c r="G264" s="15">
        <f>B264*$B$19</f>
        <v>468.56</v>
      </c>
      <c r="H264" s="15">
        <f>0</f>
        <v>0.0</v>
      </c>
      <c r="I264" s="15">
        <f>B264*$B$20</f>
        <v>1093.31</v>
      </c>
      <c r="J264" s="15">
        <f>SUM(D264:I264)</f>
        <v>5541.1</v>
      </c>
      <c r="K264" s="15">
        <f>C264+J264</f>
        <v>16786.6</v>
      </c>
    </row>
    <row r="265" spans="1:11" ht="18" customHeight="1">
      <c r="A265" s="8" t="s">
        <v>305</v>
      </c>
      <c r="K265" s="8">
        <f>SUM(K262:K264)</f>
        <v>60811.23</v>
      </c>
    </row>
    <row r="267" spans="1:11" ht="18" customHeight="1">
      <c r="A267" s="16" t="s">
        <v>306</v>
      </c>
      <c r="B267" s="16"/>
      <c r="C267" s="16"/>
      <c r="D267" s="16"/>
      <c r="E267" s="16"/>
      <c r="F267" s="16"/>
      <c r="G267" s="16"/>
      <c r="H267" s="16"/>
      <c r="I267" s="16"/>
      <c r="J267" s="16"/>
      <c r="K267" s="16"/>
    </row>
    <row r="268" spans="1:11" ht="18" customHeight="1">
      <c r="A268" s="16" t="s">
        <v>307</v>
      </c>
      <c r="B268" s="16"/>
      <c r="C268" s="16"/>
      <c r="D268" s="16"/>
      <c r="E268" s="16"/>
      <c r="F268" s="16"/>
      <c r="G268" s="16"/>
      <c r="H268" s="16"/>
      <c r="I268" s="16"/>
      <c r="J268" s="16"/>
      <c r="K268" s="17">
        <f>K254</f>
        <v>83366.21</v>
      </c>
    </row>
    <row r="269" spans="1:11" ht="18" customHeight="1">
      <c r="A269" s="16" t="s">
        <v>233</v>
      </c>
      <c r="B269" s="16"/>
      <c r="C269" s="16"/>
      <c r="D269" s="16"/>
      <c r="E269" s="16"/>
      <c r="F269" s="16"/>
      <c r="G269" s="16"/>
      <c r="H269" s="16"/>
      <c r="I269" s="16"/>
      <c r="J269" s="16"/>
      <c r="K269" s="17">
        <f>K255+K256+K257+K258+K259</f>
        <v>217992.29</v>
      </c>
    </row>
    <row r="270" spans="1:11" ht="18" customHeight="1">
      <c r="A270" s="16" t="s">
        <v>308</v>
      </c>
      <c r="B270" s="16"/>
      <c r="C270" s="16"/>
      <c r="D270" s="16"/>
      <c r="E270" s="16"/>
      <c r="F270" s="16"/>
      <c r="G270" s="16"/>
      <c r="H270" s="16"/>
      <c r="I270" s="16"/>
      <c r="J270" s="16"/>
      <c r="K270" s="18">
        <f>SUM(K268:K269)</f>
        <v>301358.5</v>
      </c>
    </row>
    <row r="271" spans="1:11" ht="30" customHeight="1">
      <c r="A271" s="19" t="s">
        <v>309</v>
      </c>
      <c r="B271" s="19"/>
      <c r="C271" s="19"/>
      <c r="D271" s="19"/>
      <c r="E271" s="19"/>
      <c r="F271" s="19"/>
      <c r="G271" s="19"/>
      <c r="H271" s="19"/>
      <c r="I271" s="19"/>
      <c r="J271" s="19"/>
      <c r="K271" s="19"/>
    </row>
    <row r="274" spans="1:11" ht="20" customHeight="1">
      <c r="A274" s="3" t="s">
        <v>699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</row>
    <row r="275" spans="1:11" ht="18" customHeight="1">
      <c r="A275" s="5" t="s">
        <v>700</v>
      </c>
      <c r="B275" s="11">
        <v>0.15</v>
      </c>
    </row>
    <row r="277" spans="1:11" ht="20" customHeight="1">
      <c r="A277" s="4" t="s">
        <v>3</v>
      </c>
      <c r="B277" s="4" t="s">
        <v>4</v>
      </c>
      <c r="C277" s="4" t="s">
        <v>5</v>
      </c>
      <c r="D277" s="4" t="s">
        <v>6</v>
      </c>
      <c r="E277" s="4" t="s">
        <v>7</v>
      </c>
      <c r="F277" s="4" t="s">
        <v>8</v>
      </c>
      <c r="G277" s="4" t="s">
        <v>9</v>
      </c>
      <c r="H277" s="4" t="s">
        <v>10</v>
      </c>
      <c r="I277" s="4" t="s">
        <v>11</v>
      </c>
      <c r="J277" s="4" t="s">
        <v>12</v>
      </c>
      <c r="K277" s="4" t="s">
        <v>13</v>
      </c>
    </row>
    <row r="278" spans="1:11" ht="18" customHeight="1">
      <c r="A278" s="5" t="s">
        <v>701</v>
      </c>
      <c r="B278" s="9">
        <f>'GASTOS_ADM_VTAS_FINANZAS'!B12+'GASTOS_ADM_VTAS_FINANZAS'!B13</f>
        <v>97503.54</v>
      </c>
      <c r="C278" s="9">
        <f>'GASTOS_ADM_VTAS_FINANZAS'!C12+'GASTOS_ADM_VTAS_FINANZAS'!C13</f>
        <v>102218.72</v>
      </c>
      <c r="D278" s="9">
        <f>'GASTOS_ADM_VTAS_FINANZAS'!D12+'GASTOS_ADM_VTAS_FINANZAS'!D13</f>
        <v>107163.26</v>
      </c>
      <c r="E278" s="9">
        <f>'GASTOS_ADM_VTAS_FINANZAS'!E12+'GASTOS_ADM_VTAS_FINANZAS'!E13</f>
        <v>112348.36</v>
      </c>
      <c r="F278" s="9">
        <f>'GASTOS_ADM_VTAS_FINANZAS'!F12+'GASTOS_ADM_VTAS_FINANZAS'!F13</f>
        <v>133011.74</v>
      </c>
      <c r="G278" s="9">
        <f>'GASTOS_ADM_VTAS_FINANZAS'!G12+'GASTOS_ADM_VTAS_FINANZAS'!G13</f>
        <v>139475.15</v>
      </c>
      <c r="H278" s="9">
        <f>'GASTOS_ADM_VTAS_FINANZAS'!H12+'GASTOS_ADM_VTAS_FINANZAS'!H13</f>
        <v>146254.24</v>
      </c>
      <c r="I278" s="9">
        <f>'GASTOS_ADM_VTAS_FINANZAS'!I12+'GASTOS_ADM_VTAS_FINANZAS'!I13</f>
        <v>153364.5</v>
      </c>
      <c r="J278" s="9">
        <f>'GASTOS_ADM_VTAS_FINANZAS'!J12+'GASTOS_ADM_VTAS_FINANZAS'!J13</f>
        <v>160822.18</v>
      </c>
      <c r="K278" s="9">
        <f>'GASTOS_ADM_VTAS_FINANZAS'!K12+'GASTOS_ADM_VTAS_FINANZAS'!K13</f>
        <v>168644.32</v>
      </c>
    </row>
    <row r="279" spans="1:11" ht="18" customHeight="1">
      <c r="A279" s="5" t="s">
        <v>702</v>
      </c>
      <c r="B279" s="9">
        <f>B278*(1+$B$275)</f>
        <v>112129.07</v>
      </c>
      <c r="C279" s="9">
        <f>C278*(1+$B$275)</f>
        <v>117551.53</v>
      </c>
      <c r="D279" s="9">
        <f>D278*(1+$B$275)</f>
        <v>123237.75</v>
      </c>
      <c r="E279" s="9">
        <f>E278*(1+$B$275)</f>
        <v>129200.62</v>
      </c>
      <c r="F279" s="9">
        <f>F278*(1+$B$275)</f>
        <v>152963.5</v>
      </c>
      <c r="G279" s="9">
        <f>G278*(1+$B$275)</f>
        <v>160396.42</v>
      </c>
      <c r="H279" s="9">
        <f>H278*(1+$B$275)</f>
        <v>168192.38</v>
      </c>
      <c r="I279" s="9">
        <f>I278*(1+$B$275)</f>
        <v>176369.18</v>
      </c>
      <c r="J279" s="9">
        <f>J278*(1+$B$275)</f>
        <v>184945.51</v>
      </c>
      <c r="K279" s="9">
        <f>K278*(1+$B$275)</f>
        <v>193940.97</v>
      </c>
    </row>
    <row r="280" spans="1:11" ht="18" customHeight="1">
      <c r="A280" s="5" t="s">
        <v>703</v>
      </c>
      <c r="B280" s="9">
        <f>B279-B278</f>
        <v>14625.53</v>
      </c>
      <c r="C280" s="9">
        <f>C279-C278</f>
        <v>15332.81</v>
      </c>
      <c r="D280" s="9">
        <f>D279-D278</f>
        <v>16074.49</v>
      </c>
      <c r="E280" s="9">
        <f>E279-E278</f>
        <v>16852.25</v>
      </c>
      <c r="F280" s="9">
        <f>F279-F278</f>
        <v>19951.76</v>
      </c>
      <c r="G280" s="9">
        <f>G279-G278</f>
        <v>20921.27</v>
      </c>
      <c r="H280" s="9">
        <f>H279-H278</f>
        <v>21938.14</v>
      </c>
      <c r="I280" s="9">
        <f>I279-I278</f>
        <v>23004.68</v>
      </c>
      <c r="J280" s="9">
        <f>J279-J278</f>
        <v>24123.33</v>
      </c>
      <c r="K280" s="9">
        <f>K279-K278</f>
        <v>25296.65</v>
      </c>
    </row>
    <row r="281" spans="1:11" ht="18" customHeight="1">
      <c r="A281" s="5" t="s">
        <v>704</v>
      </c>
      <c r="B281" s="9">
        <f>0</f>
        <v>0.0</v>
      </c>
      <c r="C281" s="9">
        <f>MAX(0,'ESTADO DE RESULTADOS'!B16-B280)*'ESTADO DE RESULTADOS'!$B$23-'PRESUPUESTO CAJA'!D23</f>
        <v>0.0</v>
      </c>
      <c r="D281" s="9">
        <f>MAX(0,'ESTADO DE RESULTADOS'!C16-C280)*'ESTADO DE RESULTADOS'!$B$23-'PRESUPUESTO CAJA'!E23</f>
        <v>0.0</v>
      </c>
      <c r="E281" s="9">
        <f>MAX(0,'ESTADO DE RESULTADOS'!D16-D280)*'ESTADO DE RESULTADOS'!$B$23-'PRESUPUESTO CAJA'!F23</f>
        <v>-4741.97</v>
      </c>
      <c r="F281" s="9">
        <f>MAX(0,'ESTADO DE RESULTADOS'!E16-E280)*'ESTADO DE RESULTADOS'!$B$23-'PRESUPUESTO CAJA'!G23</f>
        <v>-4971.42</v>
      </c>
      <c r="G281" s="9">
        <f>MAX(0,'ESTADO DE RESULTADOS'!F16-F280)*'ESTADO DE RESULTADOS'!$B$23-'PRESUPUESTO CAJA'!H23</f>
        <v>-5885.77</v>
      </c>
      <c r="H281" s="9">
        <f>MAX(0,'ESTADO DE RESULTADOS'!G16-G280)*'ESTADO DE RESULTADOS'!$B$23-'PRESUPUESTO CAJA'!I23</f>
        <v>-6171.78</v>
      </c>
      <c r="I281" s="9">
        <f>MAX(0,'ESTADO DE RESULTADOS'!H16-H280)*'ESTADO DE RESULTADOS'!$B$23-'PRESUPUESTO CAJA'!J23</f>
        <v>-6471.75</v>
      </c>
      <c r="J281" s="9">
        <f>MAX(0,'ESTADO DE RESULTADOS'!I16-I280)*'ESTADO DE RESULTADOS'!$B$23-'PRESUPUESTO CAJA'!K23</f>
        <v>-6786.38</v>
      </c>
      <c r="K281" s="9">
        <f>MAX(0,'ESTADO DE RESULTADOS'!J16-J280)*'ESTADO DE RESULTADOS'!$B$23-'PRESUPUESTO CAJA'!L23</f>
        <v>-7116.38</v>
      </c>
    </row>
    <row r="282" spans="1:11" ht="18" customHeight="1">
      <c r="A282" s="5" t="s">
        <v>705</v>
      </c>
      <c r="B282" s="9">
        <f>0</f>
        <v>0.0</v>
      </c>
      <c r="C282" s="9">
        <f>0</f>
        <v>0.0</v>
      </c>
      <c r="D282" s="9">
        <f>0</f>
        <v>0.0</v>
      </c>
      <c r="E282" s="9">
        <f>0</f>
        <v>0.0</v>
      </c>
      <c r="F282" s="9">
        <f>0</f>
        <v>0.0</v>
      </c>
      <c r="G282" s="9">
        <f>0</f>
        <v>0.0</v>
      </c>
      <c r="H282" s="9">
        <f>0</f>
        <v>0.0</v>
      </c>
      <c r="I282" s="9">
        <f>0</f>
        <v>0.0</v>
      </c>
      <c r="J282" s="9">
        <f>0</f>
        <v>0.0</v>
      </c>
      <c r="K282" s="9">
        <f>MAX(0,'ESTADO DE RESULTADOS'!K16-K280)*'ESTADO DE RESULTADOS'!$B$23-'ESTADO DE RESULTADOS'!K17</f>
        <v>-7462.51</v>
      </c>
    </row>
    <row r="283" spans="1:11" ht="18" customHeight="1">
      <c r="A283" s="5" t="s">
        <v>706</v>
      </c>
      <c r="B283" s="9">
        <f>'FLUJO DE EFECTIVO'!C13</f>
        <v>-49930.63</v>
      </c>
      <c r="C283" s="9">
        <f>'FLUJO DE EFECTIVO'!D13</f>
        <v>7975.66</v>
      </c>
      <c r="D283" s="9">
        <f>'FLUJO DE EFECTIVO'!E13</f>
        <v>67423.78</v>
      </c>
      <c r="E283" s="9">
        <f>'FLUJO DE EFECTIVO'!F13</f>
        <v>135746.16</v>
      </c>
      <c r="F283" s="9">
        <f>'FLUJO DE EFECTIVO'!G13</f>
        <v>135157.29</v>
      </c>
      <c r="G283" s="9">
        <f>'FLUJO DE EFECTIVO'!H13</f>
        <v>355452.28</v>
      </c>
      <c r="H283" s="9">
        <f>'FLUJO DE EFECTIVO'!I13</f>
        <v>379821.36</v>
      </c>
      <c r="I283" s="9">
        <f>'FLUJO DE EFECTIVO'!J13</f>
        <v>363671.79</v>
      </c>
      <c r="J283" s="9">
        <f>'FLUJO DE EFECTIVO'!K13</f>
        <v>684372.55</v>
      </c>
      <c r="K283" s="9">
        <f>'FLUJO DE EFECTIVO'!L13</f>
        <v>686908.84</v>
      </c>
    </row>
    <row r="284" spans="1:11" ht="18" customHeight="1">
      <c r="A284" s="8" t="s">
        <v>707</v>
      </c>
      <c r="B284" s="8">
        <f>B283-B280-B281-B282</f>
        <v>-64556.16</v>
      </c>
      <c r="C284" s="8">
        <f>C283-C280-C281-C282</f>
        <v>-7357.14</v>
      </c>
      <c r="D284" s="8">
        <f>D283-D280-D281-D282</f>
        <v>51349.29</v>
      </c>
      <c r="E284" s="8">
        <f>E283-E280-E281-E282</f>
        <v>123635.88</v>
      </c>
      <c r="F284" s="8">
        <f>F283-F280-F281-F282</f>
        <v>120176.94</v>
      </c>
      <c r="G284" s="8">
        <f>G283-G280-G281-G282</f>
        <v>340416.78</v>
      </c>
      <c r="H284" s="8">
        <f>H283-H280-H281-H282</f>
        <v>364055.0</v>
      </c>
      <c r="I284" s="8">
        <f>I283-I280-I281-I282</f>
        <v>347138.87</v>
      </c>
      <c r="J284" s="8">
        <f>J283-J280-J281-J282</f>
        <v>667035.6</v>
      </c>
      <c r="K284" s="8">
        <f>K283-K280-K281-K282</f>
        <v>676191.08</v>
      </c>
    </row>
    <row r="285" spans="1:11" ht="18" customHeight="1">
      <c r="A285" s="5" t="s">
        <v>708</v>
      </c>
      <c r="B285" s="9">
        <f>B284-B283</f>
        <v>-14625.53</v>
      </c>
      <c r="C285" s="9">
        <f>C284-C283</f>
        <v>-15332.81</v>
      </c>
      <c r="D285" s="9">
        <f>D284-D283</f>
        <v>-16074.49</v>
      </c>
      <c r="E285" s="9">
        <f>E284-E283</f>
        <v>-12110.28</v>
      </c>
      <c r="F285" s="9">
        <f>F284-F283</f>
        <v>-14980.35</v>
      </c>
      <c r="G285" s="9">
        <f>G284-G283</f>
        <v>-15035.5</v>
      </c>
      <c r="H285" s="9">
        <f>H284-H283</f>
        <v>-15766.36</v>
      </c>
      <c r="I285" s="9">
        <f>I284-I283</f>
        <v>-16532.93</v>
      </c>
      <c r="J285" s="9">
        <f>J284-J283</f>
        <v>-17336.95</v>
      </c>
      <c r="K285" s="9">
        <f>K284-K283</f>
        <v>-10717.76</v>
      </c>
    </row>
    <row r="288" spans="1:11" ht="20" customHeight="1">
      <c r="A288" s="3" t="s">
        <v>709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</row>
    <row r="289" spans="1:12" ht="18" customHeight="1">
      <c r="A289" s="4" t="s">
        <v>3</v>
      </c>
      <c r="B289" s="4" t="s">
        <v>551</v>
      </c>
      <c r="C289" s="4" t="s">
        <v>4</v>
      </c>
      <c r="D289" s="4" t="s">
        <v>5</v>
      </c>
      <c r="E289" s="4" t="s">
        <v>6</v>
      </c>
      <c r="F289" s="4" t="s">
        <v>7</v>
      </c>
      <c r="G289" s="4" t="s">
        <v>8</v>
      </c>
      <c r="H289" s="4" t="s">
        <v>9</v>
      </c>
      <c r="I289" s="4" t="s">
        <v>10</v>
      </c>
      <c r="J289" s="4" t="s">
        <v>11</v>
      </c>
      <c r="K289" s="4" t="s">
        <v>12</v>
      </c>
      <c r="L289" s="4" t="s">
        <v>13</v>
      </c>
    </row>
    <row r="290" spans="1:12" ht="18" customHeight="1">
      <c r="A290" s="5" t="s">
        <v>687</v>
      </c>
      <c r="B290" s="9">
        <f>-'PLAN DE INVERSION'!C27</f>
        <v>-300000.0</v>
      </c>
      <c r="C290" s="9">
        <f>B284</f>
        <v>-64556.16</v>
      </c>
      <c r="D290" s="9">
        <f>C284</f>
        <v>-7357.14</v>
      </c>
      <c r="E290" s="9">
        <f>D284</f>
        <v>51349.29</v>
      </c>
      <c r="F290" s="9">
        <f>E284</f>
        <v>123635.88</v>
      </c>
      <c r="G290" s="9">
        <f>F284</f>
        <v>120176.94</v>
      </c>
      <c r="H290" s="9">
        <f>G284</f>
        <v>340416.78</v>
      </c>
      <c r="I290" s="9">
        <f>H284</f>
        <v>364055.0</v>
      </c>
      <c r="J290" s="9">
        <f>I284</f>
        <v>347138.87</v>
      </c>
      <c r="K290" s="9">
        <f>J284</f>
        <v>667035.6</v>
      </c>
      <c r="L290" s="9">
        <f>K284</f>
        <v>676191.08</v>
      </c>
    </row>
    <row r="291" spans="1:12" ht="18" customHeight="1">
      <c r="A291" s="5" t="s">
        <v>663</v>
      </c>
      <c r="B291" s="9">
        <f>B290/((1+'COSTO CAPITAL VAN TIR IR'!E11)^0)</f>
        <v>-300000.0</v>
      </c>
      <c r="C291" s="9">
        <f>C290/((1+'COSTO CAPITAL VAN TIR IR'!E11)^1)</f>
        <v>-54495.62</v>
      </c>
      <c r="D291" s="9">
        <f>D290/((1+'COSTO CAPITAL VAN TIR IR'!E11)^2)</f>
        <v>-5242.72</v>
      </c>
      <c r="E291" s="9">
        <f>E290/((1+'COSTO CAPITAL VAN TIR IR'!E11)^3)</f>
        <v>30889.16</v>
      </c>
      <c r="F291" s="9">
        <f>F290/((1+'COSTO CAPITAL VAN TIR IR'!E11)^4)</f>
        <v>62782.71</v>
      </c>
      <c r="G291" s="9">
        <f>G290/((1+'COSTO CAPITAL VAN TIR IR'!E11)^5)</f>
        <v>51515.81</v>
      </c>
      <c r="H291" s="9">
        <f>H290/((1+'COSTO CAPITAL VAN TIR IR'!E11)^6)</f>
        <v>123183.97</v>
      </c>
      <c r="I291" s="9">
        <f>I290/((1+'COSTO CAPITAL VAN TIR IR'!E11)^7)</f>
        <v>111207.51</v>
      </c>
      <c r="J291" s="9">
        <f>J290/((1+'COSTO CAPITAL VAN TIR IR'!E11)^8)</f>
        <v>89514.67</v>
      </c>
      <c r="K291" s="9">
        <f>K290/((1+'COSTO CAPITAL VAN TIR IR'!E11)^9)</f>
        <v>145199.08</v>
      </c>
      <c r="L291" s="9">
        <f>L290/((1+'COSTO CAPITAL VAN TIR IR'!E11)^10)</f>
        <v>124253.37</v>
      </c>
    </row>
    <row r="293" spans="1:12" ht="18" customHeight="1">
      <c r="A293" s="8" t="s">
        <v>688</v>
      </c>
      <c r="B293" s="8">
        <f>SUM(B291:L291)</f>
        <v>378807.92384645453</v>
      </c>
    </row>
    <row r="294" spans="1:12" ht="18" customHeight="1">
      <c r="A294" s="8" t="s">
        <v>689</v>
      </c>
      <c r="B294" s="22">
        <f>IRR(B290:L290)</f>
        <v>0.31489293409090735</v>
      </c>
    </row>
    <row r="295" spans="1:12" ht="18" customHeight="1">
      <c r="A295" s="8" t="s">
        <v>678</v>
      </c>
      <c r="B295" s="7">
        <f>(B293+ABS(B290))/ABS(B290)</f>
        <v>2.262693079488182</v>
      </c>
    </row>
    <row r="296" spans="1:12" ht="18" customHeight="1">
      <c r="A296" s="3" t="s">
        <v>680</v>
      </c>
      <c r="B296" s="12" t="str">
        <f>IF(AND(B293&gt;0,B294&gt;'COSTO CAPITAL VAN TIR IR'!E11,B295&gt;1),"PROYECTO SE ACEPTA","PROYECTO NO VIABLE EN ESTE ESCENARIO")</f>
        <v>PROYECTO SE ACEPTA</v>
      </c>
    </row>
    <row r="298" spans="1:12" ht="18" customHeight="1">
      <c r="A298" s="13" t="s">
        <v>710</v>
      </c>
      <c r="B298" s="13"/>
      <c r="C298" s="13"/>
      <c r="D298" s="13"/>
      <c r="E298" s="13"/>
      <c r="F298" s="13"/>
      <c r="G298" s="13"/>
      <c r="H298" s="13"/>
      <c r="I298" s="13"/>
      <c r="J298" s="13"/>
      <c r="K298" s="13"/>
    </row>
    <row r="299" spans="1:12" ht="18" customHeight="1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</row>
  </sheetData>
  <mergeCells count="66">
    <mergeCell ref="A1:L1"/>
    <mergeCell ref="A3:K3"/>
    <mergeCell ref="A13:K13"/>
    <mergeCell ref="A23:K23"/>
    <mergeCell ref="A37:K37"/>
    <mergeCell ref="A38:J38"/>
    <mergeCell ref="A39:J39"/>
    <mergeCell ref="A40:J40"/>
    <mergeCell ref="A41:K41"/>
    <mergeCell ref="A44:K44"/>
    <mergeCell ref="A59:K59"/>
    <mergeCell ref="A60:J60"/>
    <mergeCell ref="A61:J61"/>
    <mergeCell ref="A62:J62"/>
    <mergeCell ref="A63:K63"/>
    <mergeCell ref="A66:K66"/>
    <mergeCell ref="A82:K82"/>
    <mergeCell ref="A83:J83"/>
    <mergeCell ref="A84:J84"/>
    <mergeCell ref="A85:J85"/>
    <mergeCell ref="A86:K86"/>
    <mergeCell ref="A89:K89"/>
    <mergeCell ref="A106:K106"/>
    <mergeCell ref="A107:J107"/>
    <mergeCell ref="A108:J108"/>
    <mergeCell ref="A109:J109"/>
    <mergeCell ref="A110:K110"/>
    <mergeCell ref="A113:K113"/>
    <mergeCell ref="A131:K131"/>
    <mergeCell ref="A132:J132"/>
    <mergeCell ref="A133:J133"/>
    <mergeCell ref="A134:J134"/>
    <mergeCell ref="A135:K135"/>
    <mergeCell ref="A138:K138"/>
    <mergeCell ref="A157:K157"/>
    <mergeCell ref="A158:J158"/>
    <mergeCell ref="A159:J159"/>
    <mergeCell ref="A160:J160"/>
    <mergeCell ref="A161:K161"/>
    <mergeCell ref="A164:K164"/>
    <mergeCell ref="A183:K183"/>
    <mergeCell ref="A184:J184"/>
    <mergeCell ref="A185:J185"/>
    <mergeCell ref="A186:J186"/>
    <mergeCell ref="A187:K187"/>
    <mergeCell ref="A190:K190"/>
    <mergeCell ref="A211:K211"/>
    <mergeCell ref="A212:J212"/>
    <mergeCell ref="A213:J213"/>
    <mergeCell ref="A214:J214"/>
    <mergeCell ref="A215:K215"/>
    <mergeCell ref="A218:K218"/>
    <mergeCell ref="A239:K239"/>
    <mergeCell ref="A240:J240"/>
    <mergeCell ref="A241:J241"/>
    <mergeCell ref="A242:J242"/>
    <mergeCell ref="A243:K243"/>
    <mergeCell ref="A246:K246"/>
    <mergeCell ref="A267:K267"/>
    <mergeCell ref="A268:J268"/>
    <mergeCell ref="A269:J269"/>
    <mergeCell ref="A270:J270"/>
    <mergeCell ref="A271:K271"/>
    <mergeCell ref="A274:K274"/>
    <mergeCell ref="A288:K288"/>
    <mergeCell ref="A298:K299"/>
  </mergeCells>
  <pageMargins left="0.25" right="0.25" top="0.35" bottom="0.35" header="0.3" footer="0.3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6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711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'PRESUPUESTO CAJA'!C11*(1+$C$17)</f>
        <v>534116.35</v>
      </c>
      <c r="D6" s="9">
        <f>'PRESUPUESTO CAJA'!D11*(1+$C$17)</f>
        <v>749666.86</v>
      </c>
      <c r="E6" s="9">
        <f>'PRESUPUESTO CAJA'!E11*(1+$C$17)</f>
        <v>933177.07</v>
      </c>
      <c r="F6" s="9">
        <f>'PRESUPUESTO CAJA'!F11*(1+$C$17)</f>
        <v>1122936.73</v>
      </c>
      <c r="G6" s="9">
        <f>'PRESUPUESTO CAJA'!G11*(1+$C$17)</f>
        <v>1179178.84</v>
      </c>
      <c r="H6" s="9">
        <f>'PRESUPUESTO CAJA'!H11*(1+$C$17)</f>
        <v>1717673.52</v>
      </c>
      <c r="I6" s="9">
        <f>'PRESUPUESTO CAJA'!I11*(1+$C$17)</f>
        <v>1909934.37</v>
      </c>
      <c r="J6" s="9">
        <f>'PRESUPUESTO CAJA'!J11*(1+$C$17)</f>
        <v>2018435.32</v>
      </c>
      <c r="K6" s="9">
        <f>'PRESUPUESTO CAJA'!K11*(1+$C$17)</f>
        <v>2608970.7</v>
      </c>
      <c r="L6" s="9">
        <f>'PRESUPUESTO CAJA'!L11*(1+$C$17)</f>
        <v>2855535.91</v>
      </c>
    </row>
    <row r="7" spans="1:12" ht="18" customHeight="1">
      <c r="A7" s="5" t="s">
        <v>645</v>
      </c>
      <c r="B7" s="9">
        <f>0.0</f>
        <v>0.0</v>
      </c>
      <c r="C7" s="9">
        <f>'PLANILLA'!B6+SUM('COSTOS'!B67:B71)*(1+$F$17)+(('COSTOS'!B27+'COSTOS'!B40)*(1+$F$17)+'COSTOS'!B47*(1+$C$17)*(1+$F$17))*'COSTOS'!$B$126+(('COSTOS'!B27+'COSTOS'!B40)*(1+$F$17)+'COSTOS'!B47*(1+$C$17)*(1+$F$17))*'COSTOS'!$B$127*'COSTOS'!$B$128+0*'COSTOS'!$B$127*(1-'COSTOS'!$B$128)+'GASTOS_ADM_VTAS_FINANZAS'!B12+'GASTOS_ADM_VTAS_FINANZAS'!B13*(1+$F$17)+'GASTOS_ADM_VTAS_FINANZAS'!B5+'GASTOS_ADM_VTAS_FINANZAS'!B7*(1+$F$17)+'GASTOS_ADM_VTAS_FINANZAS'!B6*(1+$C$17)*(1+$F$17)+0+'GASTOS_ADM_VTAS_FINANZAS'!B20+'GASTOS_ADM_VTAS_FINANZAS'!B21</f>
        <v>545292.02</v>
      </c>
      <c r="D7" s="9">
        <f>'PLANILLA'!C6+SUM('COSTOS'!C67:C71)*(1+$F$17)+(('COSTOS'!C27+'COSTOS'!C40)*(1+$F$17)+'COSTOS'!C47*(1+$C$17)*(1+$F$17))*'COSTOS'!$B$126+(('COSTOS'!C27+'COSTOS'!C40)*(1+$F$17)+'COSTOS'!C47*(1+$C$17)*(1+$F$17))*'COSTOS'!$B$127*'COSTOS'!$B$128+(('COSTOS'!B27+'COSTOS'!B40)*(1+$F$17)+'COSTOS'!B47*(1+$C$17)*(1+$F$17))*'COSTOS'!$B$127*(1-'COSTOS'!$B$128)+'GASTOS_ADM_VTAS_FINANZAS'!C12+'GASTOS_ADM_VTAS_FINANZAS'!C13*(1+$F$17)+'GASTOS_ADM_VTAS_FINANZAS'!C5+'GASTOS_ADM_VTAS_FINANZAS'!C7*(1+$F$17)+'GASTOS_ADM_VTAS_FINANZAS'!C6*(1+$C$17)*(1+$F$17)+MAX(0,('INGRESOS'!B19*(1+$C$17)-((('COSTOS'!B27+'COSTOS'!B40)*(1+$F$17)+'COSTOS'!B47*(1+$C$17)*(1+$F$17))+'PLANILLA'!B6+SUM('COSTOS'!B67:B71)*(1+$F$17)+'COSTOS'!B72)-('GASTOS_ADM_VTAS_FINANZAS'!B12+'GASTOS_ADM_VTAS_FINANZAS'!B13*(1+$F$17)+'GASTOS_ADM_VTAS_FINANZAS'!B14+'GASTOS_ADM_VTAS_FINANZAS'!B5+'GASTOS_ADM_VTAS_FINANZAS'!B7*(1+$F$17)+'GASTOS_ADM_VTAS_FINANZAS'!B6*(1+$C$17)*(1+$F$17))-'GASTOS_ADM_VTAS_FINANZAS'!B20))*'ESTADO DE RESULTADOS'!$B$23+'GASTOS_ADM_VTAS_FINANZAS'!C20+'GASTOS_ADM_VTAS_FINANZAS'!C21</f>
        <v>684614.88</v>
      </c>
      <c r="E7" s="9">
        <f>'PLANILLA'!D6+SUM('COSTOS'!D67:D71)*(1+$F$17)+(('COSTOS'!D27+'COSTOS'!D40)*(1+$F$17)+'COSTOS'!D47*(1+$C$17)*(1+$F$17))*'COSTOS'!$B$126+(('COSTOS'!D27+'COSTOS'!D40)*(1+$F$17)+'COSTOS'!D47*(1+$C$17)*(1+$F$17))*'COSTOS'!$B$127*'COSTOS'!$B$128+(('COSTOS'!C27+'COSTOS'!C40)*(1+$F$17)+'COSTOS'!C47*(1+$C$17)*(1+$F$17))*'COSTOS'!$B$127*(1-'COSTOS'!$B$128)+'GASTOS_ADM_VTAS_FINANZAS'!D12+'GASTOS_ADM_VTAS_FINANZAS'!D13*(1+$F$17)+'GASTOS_ADM_VTAS_FINANZAS'!D5+'GASTOS_ADM_VTAS_FINANZAS'!D7*(1+$F$17)+'GASTOS_ADM_VTAS_FINANZAS'!D6*(1+$C$17)*(1+$F$17)+MAX(0,('INGRESOS'!C19*(1+$C$17)-((('COSTOS'!C27+'COSTOS'!C40)*(1+$F$17)+'COSTOS'!C47*(1+$C$17)*(1+$F$17))+'PLANILLA'!C6+SUM('COSTOS'!C67:C71)*(1+$F$17)+'COSTOS'!C72)-('GASTOS_ADM_VTAS_FINANZAS'!C12+'GASTOS_ADM_VTAS_FINANZAS'!C13*(1+$F$17)+'GASTOS_ADM_VTAS_FINANZAS'!C14+'GASTOS_ADM_VTAS_FINANZAS'!C5+'GASTOS_ADM_VTAS_FINANZAS'!C7*(1+$F$17)+'GASTOS_ADM_VTAS_FINANZAS'!C6*(1+$C$17)*(1+$F$17))-'GASTOS_ADM_VTAS_FINANZAS'!C20))*'ESTADO DE RESULTADOS'!$B$23+'GASTOS_ADM_VTAS_FINANZAS'!D20+'GASTOS_ADM_VTAS_FINANZAS'!D21</f>
        <v>800907.37</v>
      </c>
      <c r="F7" s="9">
        <f>'PLANILLA'!E6+SUM('COSTOS'!E67:E71)*(1+$F$17)+(('COSTOS'!E27+'COSTOS'!E40)*(1+$F$17)+'COSTOS'!E47*(1+$C$17)*(1+$F$17))*'COSTOS'!$B$126+(('COSTOS'!E27+'COSTOS'!E40)*(1+$F$17)+'COSTOS'!E47*(1+$C$17)*(1+$F$17))*'COSTOS'!$B$127*'COSTOS'!$B$128+(('COSTOS'!D27+'COSTOS'!D40)*(1+$F$17)+'COSTOS'!D47*(1+$C$17)*(1+$F$17))*'COSTOS'!$B$127*(1-'COSTOS'!$B$128)+'GASTOS_ADM_VTAS_FINANZAS'!E12+'GASTOS_ADM_VTAS_FINANZAS'!E13*(1+$F$17)+'GASTOS_ADM_VTAS_FINANZAS'!E5+'GASTOS_ADM_VTAS_FINANZAS'!E7*(1+$F$17)+'GASTOS_ADM_VTAS_FINANZAS'!E6*(1+$C$17)*(1+$F$17)+MAX(0,('INGRESOS'!D19*(1+$C$17)-((('COSTOS'!D27+'COSTOS'!D40)*(1+$F$17)+'COSTOS'!D47*(1+$C$17)*(1+$F$17))+'PLANILLA'!D6+SUM('COSTOS'!D67:D71)*(1+$F$17)+'COSTOS'!D72)-('GASTOS_ADM_VTAS_FINANZAS'!D12+'GASTOS_ADM_VTAS_FINANZAS'!D13*(1+$F$17)+'GASTOS_ADM_VTAS_FINANZAS'!D14+'GASTOS_ADM_VTAS_FINANZAS'!D5+'GASTOS_ADM_VTAS_FINANZAS'!D7*(1+$F$17)+'GASTOS_ADM_VTAS_FINANZAS'!D6*(1+$C$17)*(1+$F$17))-'GASTOS_ADM_VTAS_FINANZAS'!D20))*'ESTADO DE RESULTADOS'!$B$23+'GASTOS_ADM_VTAS_FINANZAS'!E20+'GASTOS_ADM_VTAS_FINANZAS'!E21</f>
        <v>918842.24</v>
      </c>
      <c r="G7" s="9">
        <f>'PLANILLA'!F6+SUM('COSTOS'!F67:F71)*(1+$F$17)+(('COSTOS'!F27+'COSTOS'!F40)*(1+$F$17)+'COSTOS'!F47*(1+$C$17)*(1+$F$17))*'COSTOS'!$B$126+(('COSTOS'!F27+'COSTOS'!F40)*(1+$F$17)+'COSTOS'!F47*(1+$C$17)*(1+$F$17))*'COSTOS'!$B$127*'COSTOS'!$B$128+(('COSTOS'!E27+'COSTOS'!E40)*(1+$F$17)+'COSTOS'!E47*(1+$C$17)*(1+$F$17))*'COSTOS'!$B$127*(1-'COSTOS'!$B$128)+'GASTOS_ADM_VTAS_FINANZAS'!F12+'GASTOS_ADM_VTAS_FINANZAS'!F13*(1+$F$17)+'GASTOS_ADM_VTAS_FINANZAS'!F5+'GASTOS_ADM_VTAS_FINANZAS'!F7*(1+$F$17)+'GASTOS_ADM_VTAS_FINANZAS'!F6*(1+$C$17)*(1+$F$17)+MAX(0,('INGRESOS'!E19*(1+$C$17)-((('COSTOS'!E27+'COSTOS'!E40)*(1+$F$17)+'COSTOS'!E47*(1+$C$17)*(1+$F$17))+'PLANILLA'!E6+SUM('COSTOS'!E67:E71)*(1+$F$17)+'COSTOS'!E72)-('GASTOS_ADM_VTAS_FINANZAS'!E12+'GASTOS_ADM_VTAS_FINANZAS'!E13*(1+$F$17)+'GASTOS_ADM_VTAS_FINANZAS'!E14+'GASTOS_ADM_VTAS_FINANZAS'!E5+'GASTOS_ADM_VTAS_FINANZAS'!E7*(1+$F$17)+'GASTOS_ADM_VTAS_FINANZAS'!E6*(1+$C$17)*(1+$F$17))-'GASTOS_ADM_VTAS_FINANZAS'!E20))*'ESTADO DE RESULTADOS'!$B$23+'GASTOS_ADM_VTAS_FINANZAS'!F20+'GASTOS_ADM_VTAS_FINANZAS'!F21</f>
        <v>975120.36</v>
      </c>
      <c r="H7" s="9">
        <f>'PLANILLA'!G6+SUM('COSTOS'!G67:G71)*(1+$F$17)+(('COSTOS'!G27+'COSTOS'!G40)*(1+$F$17)+'COSTOS'!G47*(1+$C$17)*(1+$F$17))*'COSTOS'!$B$126+(('COSTOS'!G27+'COSTOS'!G40)*(1+$F$17)+'COSTOS'!G47*(1+$C$17)*(1+$F$17))*'COSTOS'!$B$127*'COSTOS'!$B$128+(('COSTOS'!F27+'COSTOS'!F40)*(1+$F$17)+'COSTOS'!F47*(1+$C$17)*(1+$F$17))*'COSTOS'!$B$127*(1-'COSTOS'!$B$128)+'GASTOS_ADM_VTAS_FINANZAS'!G12+'GASTOS_ADM_VTAS_FINANZAS'!G13*(1+$F$17)+'GASTOS_ADM_VTAS_FINANZAS'!G5+'GASTOS_ADM_VTAS_FINANZAS'!G7*(1+$F$17)+'GASTOS_ADM_VTAS_FINANZAS'!G6*(1+$C$17)*(1+$F$17)+MAX(0,('INGRESOS'!F19*(1+$C$17)-((('COSTOS'!F27+'COSTOS'!F40)*(1+$F$17)+'COSTOS'!F47*(1+$C$17)*(1+$F$17))+'PLANILLA'!F6+SUM('COSTOS'!F67:F71)*(1+$F$17)+'COSTOS'!F72)-('GASTOS_ADM_VTAS_FINANZAS'!F12+'GASTOS_ADM_VTAS_FINANZAS'!F13*(1+$F$17)+'GASTOS_ADM_VTAS_FINANZAS'!F14+'GASTOS_ADM_VTAS_FINANZAS'!F5+'GASTOS_ADM_VTAS_FINANZAS'!F7*(1+$F$17)+'GASTOS_ADM_VTAS_FINANZAS'!F6*(1+$C$17)*(1+$F$17))-'GASTOS_ADM_VTAS_FINANZAS'!F20))*'ESTADO DE RESULTADOS'!$B$23+'GASTOS_ADM_VTAS_FINANZAS'!G20+'GASTOS_ADM_VTAS_FINANZAS'!G21</f>
        <v>1247398.69</v>
      </c>
      <c r="I7" s="9">
        <f>'PLANILLA'!H6+SUM('COSTOS'!H67:H71)*(1+$F$17)+(('COSTOS'!H27+'COSTOS'!H40)*(1+$F$17)+'COSTOS'!H47*(1+$C$17)*(1+$F$17))*'COSTOS'!$B$126+(('COSTOS'!H27+'COSTOS'!H40)*(1+$F$17)+'COSTOS'!H47*(1+$C$17)*(1+$F$17))*'COSTOS'!$B$127*'COSTOS'!$B$128+(('COSTOS'!G27+'COSTOS'!G40)*(1+$F$17)+'COSTOS'!G47*(1+$C$17)*(1+$F$17))*'COSTOS'!$B$127*(1-'COSTOS'!$B$128)+'GASTOS_ADM_VTAS_FINANZAS'!H12+'GASTOS_ADM_VTAS_FINANZAS'!H13*(1+$F$17)+'GASTOS_ADM_VTAS_FINANZAS'!H5+'GASTOS_ADM_VTAS_FINANZAS'!H7*(1+$F$17)+'GASTOS_ADM_VTAS_FINANZAS'!H6*(1+$C$17)*(1+$F$17)+MAX(0,('INGRESOS'!G19*(1+$C$17)-((('COSTOS'!G27+'COSTOS'!G40)*(1+$F$17)+'COSTOS'!G47*(1+$C$17)*(1+$F$17))+'PLANILLA'!G6+SUM('COSTOS'!G67:G71)*(1+$F$17)+'COSTOS'!G72)-('GASTOS_ADM_VTAS_FINANZAS'!G12+'GASTOS_ADM_VTAS_FINANZAS'!G13*(1+$F$17)+'GASTOS_ADM_VTAS_FINANZAS'!G14+'GASTOS_ADM_VTAS_FINANZAS'!G5+'GASTOS_ADM_VTAS_FINANZAS'!G7*(1+$F$17)+'GASTOS_ADM_VTAS_FINANZAS'!G6*(1+$C$17)*(1+$F$17))-'GASTOS_ADM_VTAS_FINANZAS'!G20))*'ESTADO DE RESULTADOS'!$B$23+'GASTOS_ADM_VTAS_FINANZAS'!H20+'GASTOS_ADM_VTAS_FINANZAS'!H21</f>
        <v>1412251.75</v>
      </c>
      <c r="J7" s="9">
        <f>'PLANILLA'!I6+SUM('COSTOS'!I67:I71)*(1+$F$17)+(('COSTOS'!I27+'COSTOS'!I40)*(1+$F$17)+'COSTOS'!I47*(1+$C$17)*(1+$F$17))*'COSTOS'!$B$126+(('COSTOS'!I27+'COSTOS'!I40)*(1+$F$17)+'COSTOS'!I47*(1+$C$17)*(1+$F$17))*'COSTOS'!$B$127*'COSTOS'!$B$128+(('COSTOS'!H27+'COSTOS'!H40)*(1+$F$17)+'COSTOS'!H47*(1+$C$17)*(1+$F$17))*'COSTOS'!$B$127*(1-'COSTOS'!$B$128)+'GASTOS_ADM_VTAS_FINANZAS'!I12+'GASTOS_ADM_VTAS_FINANZAS'!I13*(1+$F$17)+'GASTOS_ADM_VTAS_FINANZAS'!I5+'GASTOS_ADM_VTAS_FINANZAS'!I7*(1+$F$17)+'GASTOS_ADM_VTAS_FINANZAS'!I6*(1+$C$17)*(1+$F$17)+MAX(0,('INGRESOS'!H19*(1+$C$17)-((('COSTOS'!H27+'COSTOS'!H40)*(1+$F$17)+'COSTOS'!H47*(1+$C$17)*(1+$F$17))+'PLANILLA'!H6+SUM('COSTOS'!H67:H71)*(1+$F$17)+'COSTOS'!H72)-('GASTOS_ADM_VTAS_FINANZAS'!H12+'GASTOS_ADM_VTAS_FINANZAS'!H13*(1+$F$17)+'GASTOS_ADM_VTAS_FINANZAS'!H14+'GASTOS_ADM_VTAS_FINANZAS'!H5+'GASTOS_ADM_VTAS_FINANZAS'!H7*(1+$F$17)+'GASTOS_ADM_VTAS_FINANZAS'!H6*(1+$C$17)*(1+$F$17))-'GASTOS_ADM_VTAS_FINANZAS'!H20))*'ESTADO DE RESULTADOS'!$B$23+'GASTOS_ADM_VTAS_FINANZAS'!I20+'GASTOS_ADM_VTAS_FINANZAS'!I21</f>
        <v>1531622.89</v>
      </c>
      <c r="K7" s="9">
        <f>'PLANILLA'!J6+SUM('COSTOS'!J67:J71)*(1+$F$17)+(('COSTOS'!J27+'COSTOS'!J40)*(1+$F$17)+'COSTOS'!J47*(1+$C$17)*(1+$F$17))*'COSTOS'!$B$126+(('COSTOS'!J27+'COSTOS'!J40)*(1+$F$17)+'COSTOS'!J47*(1+$C$17)*(1+$F$17))*'COSTOS'!$B$127*'COSTOS'!$B$128+(('COSTOS'!I27+'COSTOS'!I40)*(1+$F$17)+'COSTOS'!I47*(1+$C$17)*(1+$F$17))*'COSTOS'!$B$127*(1-'COSTOS'!$B$128)+'GASTOS_ADM_VTAS_FINANZAS'!J12+'GASTOS_ADM_VTAS_FINANZAS'!J13*(1+$F$17)+'GASTOS_ADM_VTAS_FINANZAS'!J5+'GASTOS_ADM_VTAS_FINANZAS'!J7*(1+$F$17)+'GASTOS_ADM_VTAS_FINANZAS'!J6*(1+$C$17)*(1+$F$17)+MAX(0,('INGRESOS'!I19*(1+$C$17)-((('COSTOS'!I27+'COSTOS'!I40)*(1+$F$17)+'COSTOS'!I47*(1+$C$17)*(1+$F$17))+'PLANILLA'!I6+SUM('COSTOS'!I67:I71)*(1+$F$17)+'COSTOS'!I72)-('GASTOS_ADM_VTAS_FINANZAS'!I12+'GASTOS_ADM_VTAS_FINANZAS'!I13*(1+$F$17)+'GASTOS_ADM_VTAS_FINANZAS'!I14+'GASTOS_ADM_VTAS_FINANZAS'!I5+'GASTOS_ADM_VTAS_FINANZAS'!I7*(1+$F$17)+'GASTOS_ADM_VTAS_FINANZAS'!I6*(1+$C$17)*(1+$F$17))-'GASTOS_ADM_VTAS_FINANZAS'!I20))*'ESTADO DE RESULTADOS'!$B$23+'GASTOS_ADM_VTAS_FINANZAS'!J20+'GASTOS_ADM_VTAS_FINANZAS'!J21</f>
        <v>1751558.8</v>
      </c>
      <c r="L7" s="9">
        <f>'PLANILLA'!K6+SUM('COSTOS'!K67:K71)*(1+$F$17)+(('COSTOS'!K27+'COSTOS'!K40)*(1+$F$17)+'COSTOS'!K47*(1+$C$17)*(1+$F$17))*'COSTOS'!$B$126+(('COSTOS'!K27+'COSTOS'!K40)*(1+$F$17)+'COSTOS'!K47*(1+$C$17)*(1+$F$17))*'COSTOS'!$B$127*'COSTOS'!$B$128+(('COSTOS'!J27+'COSTOS'!J40)*(1+$F$17)+'COSTOS'!J47*(1+$C$17)*(1+$F$17))*'COSTOS'!$B$127*(1-'COSTOS'!$B$128)+'GASTOS_ADM_VTAS_FINANZAS'!K12+'GASTOS_ADM_VTAS_FINANZAS'!K13*(1+$F$17)+'GASTOS_ADM_VTAS_FINANZAS'!K5+'GASTOS_ADM_VTAS_FINANZAS'!K7*(1+$F$17)+'GASTOS_ADM_VTAS_FINANZAS'!K6*(1+$C$17)*(1+$F$17)+MAX(0,('INGRESOS'!J19*(1+$C$17)-((('COSTOS'!J27+'COSTOS'!J40)*(1+$F$17)+'COSTOS'!J47*(1+$C$17)*(1+$F$17))+'PLANILLA'!J6+SUM('COSTOS'!J67:J71)*(1+$F$17)+'COSTOS'!J72)-('GASTOS_ADM_VTAS_FINANZAS'!J12+'GASTOS_ADM_VTAS_FINANZAS'!J13*(1+$F$17)+'GASTOS_ADM_VTAS_FINANZAS'!J14+'GASTOS_ADM_VTAS_FINANZAS'!J5+'GASTOS_ADM_VTAS_FINANZAS'!J7*(1+$F$17)+'GASTOS_ADM_VTAS_FINANZAS'!J6*(1+$C$17)*(1+$F$17))-'GASTOS_ADM_VTAS_FINANZAS'!J20))*'ESTADO DE RESULTADOS'!$B$23+'GASTOS_ADM_VTAS_FINANZAS'!K20+'GASTOS_ADM_VTAS_FINANZAS'!K21</f>
        <v>1939537.18</v>
      </c>
    </row>
    <row r="8" spans="1:12" ht="18" customHeight="1">
      <c r="A8" s="5" t="s">
        <v>569</v>
      </c>
      <c r="B8" s="9">
        <f>B6-B7</f>
        <v>0.0</v>
      </c>
      <c r="C8" s="9">
        <f>C6-C7</f>
        <v>-11175.66</v>
      </c>
      <c r="D8" s="9">
        <f>D6-D7</f>
        <v>65051.98</v>
      </c>
      <c r="E8" s="9">
        <f>E6-E7</f>
        <v>132269.7</v>
      </c>
      <c r="F8" s="9">
        <f>F6-F7</f>
        <v>204094.49</v>
      </c>
      <c r="G8" s="9">
        <f>G6-G7</f>
        <v>204058.49</v>
      </c>
      <c r="H8" s="9">
        <f>H6-H7</f>
        <v>470274.83</v>
      </c>
      <c r="I8" s="9">
        <f>I6-I7</f>
        <v>497682.62</v>
      </c>
      <c r="J8" s="9">
        <f>J6-J7</f>
        <v>486812.43</v>
      </c>
      <c r="K8" s="9">
        <f>K6-K7</f>
        <v>857411.89</v>
      </c>
      <c r="L8" s="9">
        <f>L6-L7</f>
        <v>915998.73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PROYECTADO'!L7*(1+$C$17)</f>
        <v>345409.35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((('COSTOS'!K27+'COSTOS'!K40)*(1+$F$17)+'COSTOS'!K47*(1+$C$17)*(1+$F$17))*'COSTOS'!$B$127*(1-'COSTOS'!$B$128)+MAX(0,('INGRESOS'!K19*(1+$C$17)-((('COSTOS'!K27+'COSTOS'!K40)*(1+$F$17)+'COSTOS'!K47*(1+$C$17)*(1+$F$17))+'PLANILLA'!K6+SUM('COSTOS'!K67:K71)*(1+$F$17)+'COSTOS'!K72)-('GASTOS_ADM_VTAS_FINANZAS'!K12+'GASTOS_ADM_VTAS_FINANZAS'!K13*(1+$F$17)+'GASTOS_ADM_VTAS_FINANZAS'!K14+'GASTOS_ADM_VTAS_FINANZAS'!K5+'GASTOS_ADM_VTAS_FINANZAS'!K7*(1+$F$17)+'GASTOS_ADM_VTAS_FINANZAS'!K6*(1+$C$17)*(1+$F$17))-'GASTOS_ADM_VTAS_FINANZAS'!K20))*'ESTADO DE RESULTADOS'!$B$23)</f>
        <v>-469807.26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-11175.66</v>
      </c>
      <c r="D13" s="8">
        <f>D5+D8+SUM(D9:D12)</f>
        <v>65051.98</v>
      </c>
      <c r="E13" s="8">
        <f>E5+E8+SUM(E9:E12)</f>
        <v>132269.7</v>
      </c>
      <c r="F13" s="8">
        <f>F5+F8+SUM(F9:F12)</f>
        <v>204094.49</v>
      </c>
      <c r="G13" s="8">
        <f>G5+G8+SUM(G9:G12)</f>
        <v>204058.49</v>
      </c>
      <c r="H13" s="8">
        <f>H5+H8+SUM(H9:H12)</f>
        <v>470274.83</v>
      </c>
      <c r="I13" s="8">
        <f>I5+I8+SUM(I9:I12)</f>
        <v>497682.62</v>
      </c>
      <c r="J13" s="8">
        <f>J5+J8+SUM(J9:J12)</f>
        <v>486812.43</v>
      </c>
      <c r="K13" s="8">
        <f>K5+K8+SUM(K9:K12)</f>
        <v>857411.89</v>
      </c>
      <c r="L13" s="8">
        <f>L5+L8+SUM(L9:L12)</f>
        <v>826600.82</v>
      </c>
    </row>
    <row r="16" spans="1:12" ht="18" customHeight="1">
      <c r="A16" s="3" t="s">
        <v>683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8" customHeight="1">
      <c r="A17" s="5" t="s">
        <v>684</v>
      </c>
      <c r="B17" s="12" t="s">
        <v>712</v>
      </c>
      <c r="C17" s="11">
        <v>0.12</v>
      </c>
      <c r="E17" s="5" t="s">
        <v>713</v>
      </c>
      <c r="F17" s="11">
        <v>0.03</v>
      </c>
    </row>
    <row r="18" spans="1:12" ht="18" customHeight="1">
      <c r="A18" s="5" t="s">
        <v>686</v>
      </c>
      <c r="B18" s="11">
        <f>('PLAN DE INVERSION'!D27/'PLAN DE INVERSION'!C27)*'COSTO CAPITAL VAN TIR IR'!D5+('PLAN DE INVERSION'!F27/'PLAN DE INVERSION'!C27)*'GASTOS_ADM_VTAS_FINANZAS'!B49</f>
        <v>0.144</v>
      </c>
    </row>
    <row r="19" spans="1:12" ht="18" customHeight="1">
      <c r="A19" s="5" t="s">
        <v>658</v>
      </c>
      <c r="B19" s="11">
        <f>'COSTO CAPITAL VAN TIR IR'!E9</f>
        <v>0.0355</v>
      </c>
    </row>
    <row r="20" spans="1:12" ht="18" customHeight="1">
      <c r="A20" s="5" t="s">
        <v>659</v>
      </c>
      <c r="B20" s="11">
        <f>B18*B19</f>
        <v>0.005111999999999999</v>
      </c>
    </row>
    <row r="21" spans="1:12" ht="18" customHeight="1">
      <c r="A21" s="8" t="s">
        <v>660</v>
      </c>
      <c r="B21" s="22">
        <f>SUM(B18:B20)</f>
        <v>0.184612</v>
      </c>
    </row>
    <row r="23" spans="1:12" ht="18" customHeight="1">
      <c r="A23" s="4" t="s">
        <v>3</v>
      </c>
      <c r="B23" s="4" t="s">
        <v>551</v>
      </c>
      <c r="C23" s="4" t="s">
        <v>4</v>
      </c>
      <c r="D23" s="4" t="s">
        <v>5</v>
      </c>
      <c r="E23" s="4" t="s">
        <v>6</v>
      </c>
      <c r="F23" s="4" t="s">
        <v>7</v>
      </c>
      <c r="G23" s="4" t="s">
        <v>8</v>
      </c>
      <c r="H23" s="4" t="s">
        <v>9</v>
      </c>
      <c r="I23" s="4" t="s">
        <v>10</v>
      </c>
      <c r="J23" s="4" t="s">
        <v>11</v>
      </c>
      <c r="K23" s="4" t="s">
        <v>12</v>
      </c>
      <c r="L23" s="4" t="s">
        <v>13</v>
      </c>
    </row>
    <row r="24" spans="1:12" ht="18" customHeight="1">
      <c r="A24" s="5" t="s">
        <v>687</v>
      </c>
      <c r="B24" s="9">
        <f>-B5</f>
        <v>-300000.0</v>
      </c>
      <c r="C24" s="9">
        <f>C13</f>
        <v>-11175.66</v>
      </c>
      <c r="D24" s="9">
        <f>D13</f>
        <v>65051.98</v>
      </c>
      <c r="E24" s="9">
        <f>E13</f>
        <v>132269.7</v>
      </c>
      <c r="F24" s="9">
        <f>F13</f>
        <v>204094.49</v>
      </c>
      <c r="G24" s="9">
        <f>G13</f>
        <v>204058.49</v>
      </c>
      <c r="H24" s="9">
        <f>H13</f>
        <v>470274.83</v>
      </c>
      <c r="I24" s="9">
        <f>I13</f>
        <v>497682.62</v>
      </c>
      <c r="J24" s="9">
        <f>J13</f>
        <v>486812.43</v>
      </c>
      <c r="K24" s="9">
        <f>K13</f>
        <v>857411.89</v>
      </c>
      <c r="L24" s="9">
        <f>L13</f>
        <v>826600.82</v>
      </c>
    </row>
    <row r="25" spans="1:12" ht="18" customHeight="1">
      <c r="A25" s="5" t="s">
        <v>663</v>
      </c>
      <c r="B25" s="9">
        <f>B24/((1+B21)^0)</f>
        <v>-300000.0</v>
      </c>
      <c r="C25" s="9">
        <f>C24/((1+B21)^1)</f>
        <v>-9434.03</v>
      </c>
      <c r="D25" s="9">
        <f>D24/((1+B21)^2)</f>
        <v>46356.24</v>
      </c>
      <c r="E25" s="9">
        <f>E24/((1+B21)^3)</f>
        <v>79566.82</v>
      </c>
      <c r="F25" s="9">
        <f>F24/((1+B21)^4)</f>
        <v>103639.85</v>
      </c>
      <c r="G25" s="9">
        <f>G24/((1+B21)^5)</f>
        <v>87473.0</v>
      </c>
      <c r="H25" s="9">
        <f>H24/((1+B21)^6)</f>
        <v>170174.69</v>
      </c>
      <c r="I25" s="9">
        <f>I24/((1+B21)^7)</f>
        <v>152026.6</v>
      </c>
      <c r="J25" s="9">
        <f>J24/((1+B21)^8)</f>
        <v>125531.48</v>
      </c>
      <c r="K25" s="9">
        <f>K24/((1+B21)^9)</f>
        <v>186639.84</v>
      </c>
      <c r="L25" s="9">
        <f>L24/((1+B21)^10)</f>
        <v>151891.88</v>
      </c>
    </row>
    <row r="27" spans="1:12" ht="18" customHeight="1">
      <c r="A27" s="8" t="s">
        <v>688</v>
      </c>
      <c r="B27" s="8">
        <f>SUM(B25:L25)</f>
        <v>793866.3643136484</v>
      </c>
    </row>
    <row r="28" spans="1:12" ht="18" customHeight="1">
      <c r="A28" s="8" t="s">
        <v>689</v>
      </c>
      <c r="B28" s="22">
        <f>IRR(B24:L24)</f>
        <v>0.4562251454302265</v>
      </c>
    </row>
    <row r="29" spans="1:12" ht="18" customHeight="1">
      <c r="A29" s="8" t="s">
        <v>678</v>
      </c>
      <c r="B29" s="7">
        <f>(B27+ABS(B24))/ABS(B24)</f>
        <v>3.6462212143788286</v>
      </c>
    </row>
    <row r="30" spans="1:12" ht="18" customHeight="1">
      <c r="A30" s="3" t="s">
        <v>680</v>
      </c>
      <c r="B30" s="12" t="str">
        <f>IF(AND(B27&gt;0,B28&gt;B21,B29&gt;1),"PROYECTO SE ACEPTA","PROYECTO NO VIABLE EN ESTE ESCENARIO")</f>
        <v>PROYECTO SE ACEPTA</v>
      </c>
    </row>
    <row r="32" spans="1:12" ht="18" customHeight="1">
      <c r="A32" s="13" t="s">
        <v>690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8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6" spans="1:12" ht="18" customHeight="1">
      <c r="A36" s="13" t="s">
        <v>515</v>
      </c>
      <c r="I36" s="13" t="s">
        <v>516</v>
      </c>
    </row>
  </sheetData>
  <mergeCells count="3">
    <mergeCell ref="A1:L1"/>
    <mergeCell ref="A16:L16"/>
    <mergeCell ref="A32:L33"/>
  </mergeCells>
  <pageMargins left="0.25" right="0.25" top="0.35" bottom="0.35" header="0.3" footer="0.3"/>
  <pageSetup paperSize="9" fitToHeight="0" orientation="landscape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69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29.7109375" customWidth="1"/>
    <col min="2" max="12" width="13.7109375" customWidth="1"/>
  </cols>
  <sheetData>
    <row r="1" spans="1:12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714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18" customHeight="1">
      <c r="A4" s="4" t="s">
        <v>715</v>
      </c>
      <c r="B4" s="4" t="s">
        <v>716</v>
      </c>
      <c r="C4" s="4" t="s">
        <v>717</v>
      </c>
      <c r="D4" s="4" t="s">
        <v>676</v>
      </c>
      <c r="E4" s="4" t="s">
        <v>677</v>
      </c>
      <c r="F4" s="4" t="s">
        <v>718</v>
      </c>
      <c r="G4" s="4" t="s">
        <v>732</v>
      </c>
    </row>
    <row r="5" spans="1:12" ht="18" customHeight="1">
      <c r="A5" s="5" t="s">
        <v>719</v>
      </c>
      <c r="B5" s="11">
        <v>0.85</v>
      </c>
      <c r="C5" s="9">
        <f>SUM('INGRESOS'!B19:K19)*B5</f>
        <v>12123910.51</v>
      </c>
      <c r="D5" s="9">
        <f>B23</f>
        <v>-123659.13034448776</v>
      </c>
      <c r="E5" s="11">
        <f>B24</f>
        <v>0.13961770190535672</v>
      </c>
      <c r="F5" s="10">
        <f>B25</f>
        <v>0.5878028988517074</v>
      </c>
      <c r="G5" s="12" t="str">
        <f>B26</f>
        <v>NO VIABLE</v>
      </c>
    </row>
    <row r="6" spans="1:12" ht="18" customHeight="1">
      <c r="A6" s="5" t="s">
        <v>720</v>
      </c>
      <c r="B6" s="11">
        <f>1+'Presupuesto Caja Bajando Precio'!B36</f>
        <v>0.9</v>
      </c>
      <c r="C6" s="9">
        <f>SUM('INGRESOS'!B19:K19)*B6</f>
        <v>12837081.71</v>
      </c>
      <c r="D6" s="9">
        <f>B33</f>
        <v>69016.76889567848</v>
      </c>
      <c r="E6" s="11">
        <f>B34</f>
        <v>0.20925136500888575</v>
      </c>
      <c r="F6" s="10">
        <f>B35</f>
        <v>1.230055896318928</v>
      </c>
      <c r="G6" s="12" t="str">
        <f>B36</f>
        <v>VIABLE</v>
      </c>
    </row>
    <row r="7" spans="1:12" ht="18" customHeight="1">
      <c r="A7" s="5" t="s">
        <v>721</v>
      </c>
      <c r="B7" s="11">
        <v>1</v>
      </c>
      <c r="C7" s="9">
        <f>SUM('INGRESOS'!B19:K19)*B7</f>
        <v>14263424.12</v>
      </c>
      <c r="D7" s="9">
        <f>B43</f>
        <v>444584.68741177063</v>
      </c>
      <c r="E7" s="11">
        <f>B44</f>
        <v>0.3399147225835105</v>
      </c>
      <c r="F7" s="10">
        <f>B45</f>
        <v>2.4819489580392355</v>
      </c>
      <c r="G7" s="12" t="str">
        <f>B46</f>
        <v>VIABLE</v>
      </c>
    </row>
    <row r="8" spans="1:12" ht="18" customHeight="1">
      <c r="A8" s="5" t="s">
        <v>722</v>
      </c>
      <c r="B8" s="11">
        <v>1.1</v>
      </c>
      <c r="C8" s="9">
        <f>SUM('INGRESOS'!B19:K19)*B8</f>
        <v>15689766.54</v>
      </c>
      <c r="D8" s="9">
        <f>B53</f>
        <v>809245.5240973067</v>
      </c>
      <c r="E8" s="11">
        <f>B54</f>
        <v>0.46465555110535617</v>
      </c>
      <c r="F8" s="10">
        <f>B55</f>
        <v>3.6974850803243555</v>
      </c>
      <c r="G8" s="12" t="str">
        <f>B56</f>
        <v>VIABLE</v>
      </c>
    </row>
    <row r="9" spans="1:12" ht="18" customHeight="1">
      <c r="A9" s="5" t="s">
        <v>723</v>
      </c>
      <c r="B9" s="11">
        <v>1.15</v>
      </c>
      <c r="C9" s="9">
        <f>SUM('INGRESOS'!B19:K19)*B9</f>
        <v>16402937.74</v>
      </c>
      <c r="D9" s="9">
        <f>B63</f>
        <v>985937.530920578</v>
      </c>
      <c r="E9" s="11">
        <f>B64</f>
        <v>0.5244312731058371</v>
      </c>
      <c r="F9" s="10">
        <f>B65</f>
        <v>4.286458436401928</v>
      </c>
      <c r="G9" s="12" t="str">
        <f>B66</f>
        <v>VIABLE</v>
      </c>
    </row>
    <row r="12" spans="1:12" ht="20" customHeight="1">
      <c r="A12" s="4" t="s">
        <v>3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  <c r="J12" s="4" t="s">
        <v>12</v>
      </c>
      <c r="K12" s="4" t="s">
        <v>13</v>
      </c>
    </row>
    <row r="13" spans="1:12" ht="18" customHeight="1">
      <c r="A13" s="5" t="s">
        <v>724</v>
      </c>
      <c r="B13" s="9">
        <f>'INGRESOS'!B19</f>
        <v>541920.0</v>
      </c>
      <c r="C13" s="9">
        <f>'INGRESOS'!C19</f>
        <v>686721.6</v>
      </c>
      <c r="D13" s="9">
        <f>'INGRESOS'!D19</f>
        <v>853167.29</v>
      </c>
      <c r="E13" s="9">
        <f>'INGRESOS'!E19</f>
        <v>1023002.28</v>
      </c>
      <c r="F13" s="9">
        <f>'INGRESOS'!F19</f>
        <v>1056906.8</v>
      </c>
      <c r="G13" s="9">
        <f>'INGRESOS'!G19</f>
        <v>1598645.75</v>
      </c>
      <c r="H13" s="9">
        <f>'INGRESOS'!H19</f>
        <v>1719842.11</v>
      </c>
      <c r="I13" s="9">
        <f>'INGRESOS'!I19</f>
        <v>1813401.52</v>
      </c>
      <c r="J13" s="9">
        <f>'INGRESOS'!J19</f>
        <v>2399806.75</v>
      </c>
      <c r="K13" s="9">
        <f>'INGRESOS'!K19</f>
        <v>2570010.03</v>
      </c>
    </row>
    <row r="14" spans="1:12" ht="18" customHeight="1">
      <c r="A14" s="5" t="s">
        <v>725</v>
      </c>
      <c r="B14" s="9">
        <f>B13*$B$6</f>
        <v>487728.0</v>
      </c>
      <c r="C14" s="9">
        <f>C13*$B$6</f>
        <v>618049.44</v>
      </c>
      <c r="D14" s="9">
        <f>D13*$B$6</f>
        <v>767850.56</v>
      </c>
      <c r="E14" s="9">
        <f>E13*$B$6</f>
        <v>920702.05</v>
      </c>
      <c r="F14" s="9">
        <f>F13*$B$6</f>
        <v>951216.12</v>
      </c>
      <c r="G14" s="9">
        <f>G13*$B$6</f>
        <v>1438781.17</v>
      </c>
      <c r="H14" s="9">
        <f>H13*$B$6</f>
        <v>1547857.9</v>
      </c>
      <c r="I14" s="9">
        <f>I13*$B$6</f>
        <v>1632061.37</v>
      </c>
      <c r="J14" s="9">
        <f>J13*$B$6</f>
        <v>2159826.08</v>
      </c>
      <c r="K14" s="9">
        <f>K13*$B$6</f>
        <v>2313009.03</v>
      </c>
    </row>
    <row r="15" spans="1:12" ht="18" customHeight="1">
      <c r="A15" s="5" t="s">
        <v>726</v>
      </c>
      <c r="B15" s="9">
        <f>B14-B13</f>
        <v>-54192.0</v>
      </c>
      <c r="C15" s="9">
        <f>C14-C13</f>
        <v>-68672.16</v>
      </c>
      <c r="D15" s="9">
        <f>D14-D13</f>
        <v>-85316.73</v>
      </c>
      <c r="E15" s="9">
        <f>E14-E13</f>
        <v>-102300.23</v>
      </c>
      <c r="F15" s="9">
        <f>F14-F13</f>
        <v>-105690.68</v>
      </c>
      <c r="G15" s="9">
        <f>G14-G13</f>
        <v>-159864.57</v>
      </c>
      <c r="H15" s="9">
        <f>H14-H13</f>
        <v>-171984.21</v>
      </c>
      <c r="I15" s="9">
        <f>I14-I13</f>
        <v>-181340.15</v>
      </c>
      <c r="J15" s="9">
        <f>J14-J13</f>
        <v>-239980.68</v>
      </c>
      <c r="K15" s="9">
        <f>K14-K13</f>
        <v>-257001.0</v>
      </c>
    </row>
    <row r="18" spans="1:12" ht="20" customHeight="1">
      <c r="A18" s="3" t="s">
        <v>727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ht="18" customHeight="1">
      <c r="A19" s="4" t="s">
        <v>3</v>
      </c>
      <c r="B19" s="4" t="s">
        <v>551</v>
      </c>
      <c r="C19" s="4" t="s">
        <v>4</v>
      </c>
      <c r="D19" s="4" t="s">
        <v>5</v>
      </c>
      <c r="E19" s="4" t="s">
        <v>6</v>
      </c>
      <c r="F19" s="4" t="s">
        <v>7</v>
      </c>
      <c r="G19" s="4" t="s">
        <v>8</v>
      </c>
      <c r="H19" s="4" t="s">
        <v>9</v>
      </c>
      <c r="I19" s="4" t="s">
        <v>10</v>
      </c>
      <c r="J19" s="4" t="s">
        <v>11</v>
      </c>
      <c r="K19" s="4" t="s">
        <v>12</v>
      </c>
      <c r="L19" s="4" t="s">
        <v>13</v>
      </c>
    </row>
    <row r="20" spans="1:12" ht="18" customHeight="1">
      <c r="A20" s="5" t="s">
        <v>687</v>
      </c>
      <c r="B20" s="9">
        <f>-'PLAN DE INVERSION'!C27</f>
        <v>-300000.0</v>
      </c>
      <c r="C20" s="9">
        <f>'PRESUPUESTO CAJA'!C11*$B$5-(('COSTOS'!B27+'COSTOS'!B40+'COSTOS'!B47*$B$5)*'COSTOS'!$B$126+('COSTOS'!B27+'COSTOS'!B40+'COSTOS'!B47*$B$5)*'COSTOS'!$B$127*'COSTOS'!$B$128+0*'COSTOS'!$B$127*(1-'COSTOS'!$B$128)+'PLANILLA'!B6+SUM('COSTOS'!B67:B71)+'GASTOS_ADM_VTAS_FINANZAS'!B12+'GASTOS_ADM_VTAS_FINANZAS'!B13+'GASTOS_ADM_VTAS_FINANZAS'!B5+'GASTOS_ADM_VTAS_FINANZAS'!B7+'GASTOS_ADM_VTAS_FINANZAS'!B6*$B$5+'GASTOS_ADM_VTAS_FINANZAS'!B20+'GASTOS_ADM_VTAS_FINANZAS'!B21+0)</f>
        <v>-117047.59</v>
      </c>
      <c r="D20" s="9">
        <f>'PRESUPUESTO CAJA'!D11*$B$5-(('COSTOS'!C27+'COSTOS'!C40+'COSTOS'!C47*$B$5)*'COSTOS'!$B$126+('COSTOS'!C27+'COSTOS'!C40+'COSTOS'!C47*$B$5)*'COSTOS'!$B$127*'COSTOS'!$B$128+('COSTOS'!B27+'COSTOS'!B40+'COSTOS'!B47*$B$5)*'COSTOS'!$B$127*(1-'COSTOS'!$B$128)+'PLANILLA'!C6+SUM('COSTOS'!C67:C71)+'GASTOS_ADM_VTAS_FINANZAS'!C12+'GASTOS_ADM_VTAS_FINANZAS'!C13+'GASTOS_ADM_VTAS_FINANZAS'!C5+'GASTOS_ADM_VTAS_FINANZAS'!C7+'GASTOS_ADM_VTAS_FINANZAS'!C6*$B$5+'GASTOS_ADM_VTAS_FINANZAS'!C20+'GASTOS_ADM_VTAS_FINANZAS'!C21+MAX(0,('INGRESOS'!B19*$B$5-('COSTOS'!B27+'COSTOS'!B40+'COSTOS'!B47*$B$5)-'PLANILLA'!B6-'COSTOS'!B73-'GASTOS_ADM_VTAS_FINANZAS'!B15-'GASTOS_ADM_VTAS_FINANZAS'!B5+'GASTOS_ADM_VTAS_FINANZAS'!B7+'GASTOS_ADM_VTAS_FINANZAS'!B6*$B$5-'GASTOS_ADM_VTAS_FINANZAS'!B20))*'ESTADO DE RESULTADOS'!$B$23)</f>
        <v>-87115.41</v>
      </c>
      <c r="E20" s="9">
        <f>'PRESUPUESTO CAJA'!E11*$B$5-(('COSTOS'!D27+'COSTOS'!D40+'COSTOS'!D47*$B$5)*'COSTOS'!$B$126+('COSTOS'!D27+'COSTOS'!D40+'COSTOS'!D47*$B$5)*'COSTOS'!$B$127*'COSTOS'!$B$128+('COSTOS'!C27+'COSTOS'!C40+'COSTOS'!C47*$B$5)*'COSTOS'!$B$127*(1-'COSTOS'!$B$128)+'PLANILLA'!D6+SUM('COSTOS'!D67:D71)+'GASTOS_ADM_VTAS_FINANZAS'!D12+'GASTOS_ADM_VTAS_FINANZAS'!D13+'GASTOS_ADM_VTAS_FINANZAS'!D5+'GASTOS_ADM_VTAS_FINANZAS'!D7+'GASTOS_ADM_VTAS_FINANZAS'!D6*$B$5+'GASTOS_ADM_VTAS_FINANZAS'!D20+'GASTOS_ADM_VTAS_FINANZAS'!D21+MAX(0,('INGRESOS'!C19*$B$5-('COSTOS'!C27+'COSTOS'!C40+'COSTOS'!C47*$B$5)-'PLANILLA'!C6-'COSTOS'!C73-'GASTOS_ADM_VTAS_FINANZAS'!C15-'GASTOS_ADM_VTAS_FINANZAS'!C5+'GASTOS_ADM_VTAS_FINANZAS'!C7+'GASTOS_ADM_VTAS_FINANZAS'!C6*$B$5-'GASTOS_ADM_VTAS_FINANZAS'!C20))*'ESTADO DE RESULTADOS'!$B$23)</f>
        <v>-51490.46</v>
      </c>
      <c r="F20" s="9">
        <f>'PRESUPUESTO CAJA'!F11*$B$5-(('COSTOS'!E27+'COSTOS'!E40+'COSTOS'!E47*$B$5)*'COSTOS'!$B$126+('COSTOS'!E27+'COSTOS'!E40+'COSTOS'!E47*$B$5)*'COSTOS'!$B$127*'COSTOS'!$B$128+('COSTOS'!D27+'COSTOS'!D40+'COSTOS'!D47*$B$5)*'COSTOS'!$B$127*(1-'COSTOS'!$B$128)+'PLANILLA'!E6+SUM('COSTOS'!E67:E71)+'GASTOS_ADM_VTAS_FINANZAS'!E12+'GASTOS_ADM_VTAS_FINANZAS'!E13+'GASTOS_ADM_VTAS_FINANZAS'!E5+'GASTOS_ADM_VTAS_FINANZAS'!E7+'GASTOS_ADM_VTAS_FINANZAS'!E6*$B$5+'GASTOS_ADM_VTAS_FINANZAS'!E20+'GASTOS_ADM_VTAS_FINANZAS'!E21+MAX(0,('INGRESOS'!D19*$B$5-('COSTOS'!D27+'COSTOS'!D40+'COSTOS'!D47*$B$5)-'PLANILLA'!D6-'COSTOS'!D73-'GASTOS_ADM_VTAS_FINANZAS'!D15-'GASTOS_ADM_VTAS_FINANZAS'!D5+'GASTOS_ADM_VTAS_FINANZAS'!D7+'GASTOS_ADM_VTAS_FINANZAS'!D6*$B$5-'GASTOS_ADM_VTAS_FINANZAS'!D20))*'ESTADO DE RESULTADOS'!$B$23)</f>
        <v>7092.76</v>
      </c>
      <c r="G20" s="9">
        <f>'PRESUPUESTO CAJA'!G11*$B$5-(('COSTOS'!F27+'COSTOS'!F40+'COSTOS'!F47*$B$5)*'COSTOS'!$B$126+('COSTOS'!F27+'COSTOS'!F40+'COSTOS'!F47*$B$5)*'COSTOS'!$B$127*'COSTOS'!$B$128+('COSTOS'!E27+'COSTOS'!E40+'COSTOS'!E47*$B$5)*'COSTOS'!$B$127*(1-'COSTOS'!$B$128)+'PLANILLA'!F6+SUM('COSTOS'!F67:F71)+'GASTOS_ADM_VTAS_FINANZAS'!F12+'GASTOS_ADM_VTAS_FINANZAS'!F13+'GASTOS_ADM_VTAS_FINANZAS'!F5+'GASTOS_ADM_VTAS_FINANZAS'!F7+'GASTOS_ADM_VTAS_FINANZAS'!F6*$B$5+'GASTOS_ADM_VTAS_FINANZAS'!F20+'GASTOS_ADM_VTAS_FINANZAS'!F21+MAX(0,('INGRESOS'!E19*$B$5-('COSTOS'!E27+'COSTOS'!E40+'COSTOS'!E47*$B$5)-'PLANILLA'!E6-'COSTOS'!E73-'GASTOS_ADM_VTAS_FINANZAS'!E15-'GASTOS_ADM_VTAS_FINANZAS'!E5+'GASTOS_ADM_VTAS_FINANZAS'!E7+'GASTOS_ADM_VTAS_FINANZAS'!E6*$B$5-'GASTOS_ADM_VTAS_FINANZAS'!E20))*'ESTADO DE RESULTADOS'!$B$23)</f>
        <v>24297.32</v>
      </c>
      <c r="H20" s="9">
        <f>'PRESUPUESTO CAJA'!H11*$B$5-(('COSTOS'!G27+'COSTOS'!G40+'COSTOS'!G47*$B$5)*'COSTOS'!$B$126+('COSTOS'!G27+'COSTOS'!G40+'COSTOS'!G47*$B$5)*'COSTOS'!$B$127*'COSTOS'!$B$128+('COSTOS'!F27+'COSTOS'!F40+'COSTOS'!F47*$B$5)*'COSTOS'!$B$127*(1-'COSTOS'!$B$128)+'PLANILLA'!G6+SUM('COSTOS'!G67:G71)+'GASTOS_ADM_VTAS_FINANZAS'!G12+'GASTOS_ADM_VTAS_FINANZAS'!G13+'GASTOS_ADM_VTAS_FINANZAS'!G5+'GASTOS_ADM_VTAS_FINANZAS'!G7+'GASTOS_ADM_VTAS_FINANZAS'!G6*$B$5+'GASTOS_ADM_VTAS_FINANZAS'!G20+'GASTOS_ADM_VTAS_FINANZAS'!G21+MAX(0,('INGRESOS'!F19*$B$5-('COSTOS'!F27+'COSTOS'!F40+'COSTOS'!F47*$B$5)-'PLANILLA'!F6-'COSTOS'!F73-'GASTOS_ADM_VTAS_FINANZAS'!F15-'GASTOS_ADM_VTAS_FINANZAS'!F5+'GASTOS_ADM_VTAS_FINANZAS'!F7+'GASTOS_ADM_VTAS_FINANZAS'!F6*$B$5-'GASTOS_ADM_VTAS_FINANZAS'!F20))*'ESTADO DE RESULTADOS'!$B$23)</f>
        <v>180415.54</v>
      </c>
      <c r="I20" s="9">
        <f>'PRESUPUESTO CAJA'!I11*$B$5-(('COSTOS'!H27+'COSTOS'!H40+'COSTOS'!H47*$B$5)*'COSTOS'!$B$126+('COSTOS'!H27+'COSTOS'!H40+'COSTOS'!H47*$B$5)*'COSTOS'!$B$127*'COSTOS'!$B$128+('COSTOS'!G27+'COSTOS'!G40+'COSTOS'!G47*$B$5)*'COSTOS'!$B$127*(1-'COSTOS'!$B$128)+'PLANILLA'!H6+SUM('COSTOS'!H67:H71)+'GASTOS_ADM_VTAS_FINANZAS'!H12+'GASTOS_ADM_VTAS_FINANZAS'!H13+'GASTOS_ADM_VTAS_FINANZAS'!H5+'GASTOS_ADM_VTAS_FINANZAS'!H7+'GASTOS_ADM_VTAS_FINANZAS'!H6*$B$5+'GASTOS_ADM_VTAS_FINANZAS'!H20+'GASTOS_ADM_VTAS_FINANZAS'!H21+MAX(0,('INGRESOS'!G19*$B$5-('COSTOS'!G27+'COSTOS'!G40+'COSTOS'!G47*$B$5)-'PLANILLA'!G6-'COSTOS'!G73-'GASTOS_ADM_VTAS_FINANZAS'!G15-'GASTOS_ADM_VTAS_FINANZAS'!G5+'GASTOS_ADM_VTAS_FINANZAS'!G7+'GASTOS_ADM_VTAS_FINANZAS'!G6*$B$5-'GASTOS_ADM_VTAS_FINANZAS'!G20))*'ESTADO DE RESULTADOS'!$B$23)</f>
        <v>201946.39</v>
      </c>
      <c r="J20" s="9">
        <f>'PRESUPUESTO CAJA'!J11*$B$5-(('COSTOS'!I27+'COSTOS'!I40+'COSTOS'!I47*$B$5)*'COSTOS'!$B$126+('COSTOS'!I27+'COSTOS'!I40+'COSTOS'!I47*$B$5)*'COSTOS'!$B$127*'COSTOS'!$B$128+('COSTOS'!H27+'COSTOS'!H40+'COSTOS'!H47*$B$5)*'COSTOS'!$B$127*(1-'COSTOS'!$B$128)+'PLANILLA'!I6+SUM('COSTOS'!I67:I71)+'GASTOS_ADM_VTAS_FINANZAS'!I12+'GASTOS_ADM_VTAS_FINANZAS'!I13+'GASTOS_ADM_VTAS_FINANZAS'!I5+'GASTOS_ADM_VTAS_FINANZAS'!I7+'GASTOS_ADM_VTAS_FINANZAS'!I6*$B$5+'GASTOS_ADM_VTAS_FINANZAS'!I20+'GASTOS_ADM_VTAS_FINANZAS'!I21+MAX(0,('INGRESOS'!H19*$B$5-('COSTOS'!H27+'COSTOS'!H40+'COSTOS'!H47*$B$5)-'PLANILLA'!H6-'COSTOS'!H73-'GASTOS_ADM_VTAS_FINANZAS'!H15-'GASTOS_ADM_VTAS_FINANZAS'!H5+'GASTOS_ADM_VTAS_FINANZAS'!H7+'GASTOS_ADM_VTAS_FINANZAS'!H6*$B$5-'GASTOS_ADM_VTAS_FINANZAS'!H20))*'ESTADO DE RESULTADOS'!$B$23)</f>
        <v>176370.0</v>
      </c>
      <c r="K20" s="9">
        <f>'PRESUPUESTO CAJA'!K11*$B$5-(('COSTOS'!J27+'COSTOS'!J40+'COSTOS'!J47*$B$5)*'COSTOS'!$B$126+('COSTOS'!J27+'COSTOS'!J40+'COSTOS'!J47*$B$5)*'COSTOS'!$B$127*'COSTOS'!$B$128+('COSTOS'!I27+'COSTOS'!I40+'COSTOS'!I47*$B$5)*'COSTOS'!$B$127*(1-'COSTOS'!$B$128)+'PLANILLA'!J6+SUM('COSTOS'!J67:J71)+'GASTOS_ADM_VTAS_FINANZAS'!J12+'GASTOS_ADM_VTAS_FINANZAS'!J13+'GASTOS_ADM_VTAS_FINANZAS'!J5+'GASTOS_ADM_VTAS_FINANZAS'!J7+'GASTOS_ADM_VTAS_FINANZAS'!J6*$B$5+'GASTOS_ADM_VTAS_FINANZAS'!J20+'GASTOS_ADM_VTAS_FINANZAS'!J21+MAX(0,('INGRESOS'!I19*$B$5-('COSTOS'!I27+'COSTOS'!I40+'COSTOS'!I47*$B$5)-'PLANILLA'!I6-'COSTOS'!I73-'GASTOS_ADM_VTAS_FINANZAS'!I15-'GASTOS_ADM_VTAS_FINANZAS'!I5+'GASTOS_ADM_VTAS_FINANZAS'!I7+'GASTOS_ADM_VTAS_FINANZAS'!I6*$B$5-'GASTOS_ADM_VTAS_FINANZAS'!I20))*'ESTADO DE RESULTADOS'!$B$23)</f>
        <v>426013.2</v>
      </c>
      <c r="L20" s="9">
        <f>'PRESUPUESTO CAJA'!L11*$B$5-(('COSTOS'!K27+'COSTOS'!K40+'COSTOS'!K47*$B$5)*'COSTOS'!$B$126+('COSTOS'!K27+'COSTOS'!K40+'COSTOS'!K47*$B$5)*'COSTOS'!$B$127*'COSTOS'!$B$128+('COSTOS'!J27+'COSTOS'!J40+'COSTOS'!J47*$B$5)*'COSTOS'!$B$127*(1-'COSTOS'!$B$128)+'PLANILLA'!K6+SUM('COSTOS'!K67:K71)+'GASTOS_ADM_VTAS_FINANZAS'!K12+'GASTOS_ADM_VTAS_FINANZAS'!K13+'GASTOS_ADM_VTAS_FINANZAS'!K5+'GASTOS_ADM_VTAS_FINANZAS'!K7+'GASTOS_ADM_VTAS_FINANZAS'!K6*$B$5+'GASTOS_ADM_VTAS_FINANZAS'!K20+'GASTOS_ADM_VTAS_FINANZAS'!K21+MAX(0,('INGRESOS'!J19*$B$5-('COSTOS'!J27+'COSTOS'!J40+'COSTOS'!J47*$B$5)-'PLANILLA'!J6-'COSTOS'!J73-'GASTOS_ADM_VTAS_FINANZAS'!J15-'GASTOS_ADM_VTAS_FINANZAS'!J5+'GASTOS_ADM_VTAS_FINANZAS'!J7+'GASTOS_ADM_VTAS_FINANZAS'!J6*$B$5-'GASTOS_ADM_VTAS_FINANZAS'!J20))*'ESTADO DE RESULTADOS'!$B$23)+'BALANCE GENERAL PROYECTADO'!L7*$B$5+'DEPRECIACIONES AMORTIZACION'!B108-(('COSTOS'!K27+'COSTOS'!K40+'COSTOS'!K47*$B$5)*'COSTOS'!$B$127*(1-'COSTOS'!$B$128)+MAX(0,('INGRESOS'!K19*$B$5-('COSTOS'!K27+'COSTOS'!K40+'COSTOS'!K47*$B$5)-'PLANILLA'!K6-'COSTOS'!K73-'GASTOS_ADM_VTAS_FINANZAS'!K15-'GASTOS_ADM_VTAS_FINANZAS'!K5+'GASTOS_ADM_VTAS_FINANZAS'!K7+'GASTOS_ADM_VTAS_FINANZAS'!K6*$B$5-'GASTOS_ADM_VTAS_FINANZAS'!K20))*'ESTADO DE RESULTADOS'!$B$23)</f>
        <v>484319.28</v>
      </c>
    </row>
    <row r="21" spans="1:12" ht="18" customHeight="1">
      <c r="A21" s="5" t="s">
        <v>663</v>
      </c>
      <c r="B21" s="9">
        <f>B20/((1+'COSTO CAPITAL VAN TIR IR'!E11)^0)</f>
        <v>-300000.0</v>
      </c>
      <c r="C21" s="9">
        <f>C20/((1+'COSTO CAPITAL VAN TIR IR'!E11)^1)</f>
        <v>-98806.69</v>
      </c>
      <c r="D21" s="9">
        <f>D20/((1+'COSTO CAPITAL VAN TIR IR'!E11)^2)</f>
        <v>-62078.72</v>
      </c>
      <c r="E21" s="9">
        <f>E20/((1+'COSTO CAPITAL VAN TIR IR'!E11)^3)</f>
        <v>-30974.08</v>
      </c>
      <c r="F21" s="9">
        <f>F20/((1+'COSTO CAPITAL VAN TIR IR'!E11)^4)</f>
        <v>3601.73</v>
      </c>
      <c r="G21" s="9">
        <f>G20/((1+'COSTO CAPITAL VAN TIR IR'!E11)^5)</f>
        <v>10415.44</v>
      </c>
      <c r="H21" s="9">
        <f>H20/((1+'COSTO CAPITAL VAN TIR IR'!E11)^6)</f>
        <v>65285.57</v>
      </c>
      <c r="I21" s="9">
        <f>I20/((1+'COSTO CAPITAL VAN TIR IR'!E11)^7)</f>
        <v>61688.36</v>
      </c>
      <c r="J21" s="9">
        <f>J20/((1+'COSTO CAPITAL VAN TIR IR'!E11)^8)</f>
        <v>45479.5</v>
      </c>
      <c r="K21" s="9">
        <f>K20/((1+'COSTO CAPITAL VAN TIR IR'!E11)^9)</f>
        <v>92733.77</v>
      </c>
      <c r="L21" s="9">
        <f>L20/((1+'COSTO CAPITAL VAN TIR IR'!E11)^10)</f>
        <v>88996.0</v>
      </c>
    </row>
    <row r="23" spans="1:12" ht="18" customHeight="1">
      <c r="A23" s="8" t="s">
        <v>688</v>
      </c>
      <c r="B23" s="8">
        <f>SUM(B21:L21)</f>
        <v>-123659.13034448776</v>
      </c>
    </row>
    <row r="24" spans="1:12" ht="18" customHeight="1">
      <c r="A24" s="8" t="s">
        <v>689</v>
      </c>
      <c r="B24" s="22">
        <f>IRR(B20:L20)</f>
        <v>0.13961770190535672</v>
      </c>
    </row>
    <row r="25" spans="1:12" ht="18" customHeight="1">
      <c r="A25" s="8" t="s">
        <v>678</v>
      </c>
      <c r="B25" s="7">
        <f>(B23+ABS(B20))/ABS(B20)</f>
        <v>0.5878028988517074</v>
      </c>
    </row>
    <row r="26" spans="1:12" ht="18" customHeight="1">
      <c r="A26" s="3" t="s">
        <v>680</v>
      </c>
      <c r="B26" s="12" t="str">
        <f>IF(AND(B23&gt;0,B24&gt;'COSTO CAPITAL VAN TIR IR'!E11,B25&gt;1),"VIABLE","NO VIABLE")</f>
        <v>NO VIABLE</v>
      </c>
    </row>
    <row r="28" spans="1:12" ht="20" customHeight="1">
      <c r="A28" s="3" t="s">
        <v>728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ht="18" customHeight="1">
      <c r="A29" s="4" t="s">
        <v>3</v>
      </c>
      <c r="B29" s="4" t="s">
        <v>551</v>
      </c>
      <c r="C29" s="4" t="s">
        <v>4</v>
      </c>
      <c r="D29" s="4" t="s">
        <v>5</v>
      </c>
      <c r="E29" s="4" t="s">
        <v>6</v>
      </c>
      <c r="F29" s="4" t="s">
        <v>7</v>
      </c>
      <c r="G29" s="4" t="s">
        <v>8</v>
      </c>
      <c r="H29" s="4" t="s">
        <v>9</v>
      </c>
      <c r="I29" s="4" t="s">
        <v>10</v>
      </c>
      <c r="J29" s="4" t="s">
        <v>11</v>
      </c>
      <c r="K29" s="4" t="s">
        <v>12</v>
      </c>
      <c r="L29" s="4" t="s">
        <v>13</v>
      </c>
    </row>
    <row r="30" spans="1:12" ht="18" customHeight="1">
      <c r="A30" s="5" t="s">
        <v>687</v>
      </c>
      <c r="B30" s="9">
        <f>-'PLAN DE INVERSION'!C27</f>
        <v>-300000.0</v>
      </c>
      <c r="C30" s="9">
        <f>'PRESUPUESTO CAJA'!C11*$B$6-(('COSTOS'!B27+'COSTOS'!B40+'COSTOS'!B47*$B$6)*'COSTOS'!$B$126+('COSTOS'!B27+'COSTOS'!B40+'COSTOS'!B47*$B$6)*'COSTOS'!$B$127*'COSTOS'!$B$128+0*'COSTOS'!$B$127*(1-'COSTOS'!$B$128)+'PLANILLA'!B6+SUM('COSTOS'!B67:B71)+'GASTOS_ADM_VTAS_FINANZAS'!B12+'GASTOS_ADM_VTAS_FINANZAS'!B13+'GASTOS_ADM_VTAS_FINANZAS'!B5+'GASTOS_ADM_VTAS_FINANZAS'!B7+'GASTOS_ADM_VTAS_FINANZAS'!B6*$B$6+'GASTOS_ADM_VTAS_FINANZAS'!B20+'GASTOS_ADM_VTAS_FINANZAS'!B21+0)</f>
        <v>-94675.27</v>
      </c>
      <c r="D30" s="9">
        <f>'PRESUPUESTO CAJA'!D11*$B$6-(('COSTOS'!C27+'COSTOS'!C40+'COSTOS'!C47*$B$6)*'COSTOS'!$B$126+('COSTOS'!C27+'COSTOS'!C40+'COSTOS'!C47*$B$6)*'COSTOS'!$B$127*'COSTOS'!$B$128+('COSTOS'!B27+'COSTOS'!B40+'COSTOS'!B47*$B$6)*'COSTOS'!$B$127*(1-'COSTOS'!$B$128)+'PLANILLA'!C6+SUM('COSTOS'!C67:C71)+'GASTOS_ADM_VTAS_FINANZAS'!C12+'GASTOS_ADM_VTAS_FINANZAS'!C13+'GASTOS_ADM_VTAS_FINANZAS'!C5+'GASTOS_ADM_VTAS_FINANZAS'!C7+'GASTOS_ADM_VTAS_FINANZAS'!C6*$B$6+'GASTOS_ADM_VTAS_FINANZAS'!C20+'GASTOS_ADM_VTAS_FINANZAS'!C21+MAX(0,('INGRESOS'!B19*$B$6-('COSTOS'!B27+'COSTOS'!B40+'COSTOS'!B47*$B$6)-'PLANILLA'!B6-'COSTOS'!B73-'GASTOS_ADM_VTAS_FINANZAS'!B15-'GASTOS_ADM_VTAS_FINANZAS'!B5+'GASTOS_ADM_VTAS_FINANZAS'!B7+'GASTOS_ADM_VTAS_FINANZAS'!B6*$B$6-'GASTOS_ADM_VTAS_FINANZAS'!B20))*'ESTADO DE RESULTADOS'!$B$23)</f>
        <v>-55418.39</v>
      </c>
      <c r="E30" s="9">
        <f>'PRESUPUESTO CAJA'!E11*$B$6-(('COSTOS'!D27+'COSTOS'!D40+'COSTOS'!D47*$B$6)*'COSTOS'!$B$126+('COSTOS'!D27+'COSTOS'!D40+'COSTOS'!D47*$B$6)*'COSTOS'!$B$127*'COSTOS'!$B$128+('COSTOS'!C27+'COSTOS'!C40+'COSTOS'!C47*$B$6)*'COSTOS'!$B$127*(1-'COSTOS'!$B$128)+'PLANILLA'!D6+SUM('COSTOS'!D67:D71)+'GASTOS_ADM_VTAS_FINANZAS'!D12+'GASTOS_ADM_VTAS_FINANZAS'!D13+'GASTOS_ADM_VTAS_FINANZAS'!D5+'GASTOS_ADM_VTAS_FINANZAS'!D7+'GASTOS_ADM_VTAS_FINANZAS'!D6*$B$6+'GASTOS_ADM_VTAS_FINANZAS'!D20+'GASTOS_ADM_VTAS_FINANZAS'!D21+MAX(0,('INGRESOS'!C19*$B$6-('COSTOS'!C27+'COSTOS'!C40+'COSTOS'!C47*$B$6)-'PLANILLA'!C6-'COSTOS'!C73-'GASTOS_ADM_VTAS_FINANZAS'!C15-'GASTOS_ADM_VTAS_FINANZAS'!C5+'GASTOS_ADM_VTAS_FINANZAS'!C7+'GASTOS_ADM_VTAS_FINANZAS'!C6*$B$6-'GASTOS_ADM_VTAS_FINANZAS'!C20))*'ESTADO DE RESULTADOS'!$B$23)</f>
        <v>-11852.38</v>
      </c>
      <c r="F30" s="9">
        <f>'PRESUPUESTO CAJA'!F11*$B$6-(('COSTOS'!E27+'COSTOS'!E40+'COSTOS'!E47*$B$6)*'COSTOS'!$B$126+('COSTOS'!E27+'COSTOS'!E40+'COSTOS'!E47*$B$6)*'COSTOS'!$B$127*'COSTOS'!$B$128+('COSTOS'!D27+'COSTOS'!D40+'COSTOS'!D47*$B$6)*'COSTOS'!$B$127*(1-'COSTOS'!$B$128)+'PLANILLA'!E6+SUM('COSTOS'!E67:E71)+'GASTOS_ADM_VTAS_FINANZAS'!E12+'GASTOS_ADM_VTAS_FINANZAS'!E13+'GASTOS_ADM_VTAS_FINANZAS'!E5+'GASTOS_ADM_VTAS_FINANZAS'!E7+'GASTOS_ADM_VTAS_FINANZAS'!E6*$B$6+'GASTOS_ADM_VTAS_FINANZAS'!E20+'GASTOS_ADM_VTAS_FINANZAS'!E21+MAX(0,('INGRESOS'!D19*$B$6-('COSTOS'!D27+'COSTOS'!D40+'COSTOS'!D47*$B$6)-'PLANILLA'!D6-'COSTOS'!D73-'GASTOS_ADM_VTAS_FINANZAS'!D15-'GASTOS_ADM_VTAS_FINANZAS'!D5+'GASTOS_ADM_VTAS_FINANZAS'!D7+'GASTOS_ADM_VTAS_FINANZAS'!D6*$B$6-'GASTOS_ADM_VTAS_FINANZAS'!D20))*'ESTADO DE RESULTADOS'!$B$23)</f>
        <v>54959.43</v>
      </c>
      <c r="G30" s="9">
        <f>'PRESUPUESTO CAJA'!G11*$B$6-(('COSTOS'!F27+'COSTOS'!F40+'COSTOS'!F47*$B$6)*'COSTOS'!$B$126+('COSTOS'!F27+'COSTOS'!F40+'COSTOS'!F47*$B$6)*'COSTOS'!$B$127*'COSTOS'!$B$128+('COSTOS'!E27+'COSTOS'!E40+'COSTOS'!E47*$B$6)*'COSTOS'!$B$127*(1-'COSTOS'!$B$128)+'PLANILLA'!F6+SUM('COSTOS'!F67:F71)+'GASTOS_ADM_VTAS_FINANZAS'!F12+'GASTOS_ADM_VTAS_FINANZAS'!F13+'GASTOS_ADM_VTAS_FINANZAS'!F5+'GASTOS_ADM_VTAS_FINANZAS'!F7+'GASTOS_ADM_VTAS_FINANZAS'!F6*$B$6+'GASTOS_ADM_VTAS_FINANZAS'!F20+'GASTOS_ADM_VTAS_FINANZAS'!F21+MAX(0,('INGRESOS'!E19*$B$6-('COSTOS'!E27+'COSTOS'!E40+'COSTOS'!E47*$B$6)-'PLANILLA'!E6-'COSTOS'!E73-'GASTOS_ADM_VTAS_FINANZAS'!E15-'GASTOS_ADM_VTAS_FINANZAS'!E5+'GASTOS_ADM_VTAS_FINANZAS'!E7+'GASTOS_ADM_VTAS_FINANZAS'!E6*$B$6-'GASTOS_ADM_VTAS_FINANZAS'!E20))*'ESTADO DE RESULTADOS'!$B$23)</f>
        <v>62956.66</v>
      </c>
      <c r="H30" s="9">
        <f>'PRESUPUESTO CAJA'!H11*$B$6-(('COSTOS'!G27+'COSTOS'!G40+'COSTOS'!G47*$B$6)*'COSTOS'!$B$126+('COSTOS'!G27+'COSTOS'!G40+'COSTOS'!G47*$B$6)*'COSTOS'!$B$127*'COSTOS'!$B$128+('COSTOS'!F27+'COSTOS'!F40+'COSTOS'!F47*$B$6)*'COSTOS'!$B$127*(1-'COSTOS'!$B$128)+'PLANILLA'!G6+SUM('COSTOS'!G67:G71)+'GASTOS_ADM_VTAS_FINANZAS'!G12+'GASTOS_ADM_VTAS_FINANZAS'!G13+'GASTOS_ADM_VTAS_FINANZAS'!G5+'GASTOS_ADM_VTAS_FINANZAS'!G7+'GASTOS_ADM_VTAS_FINANZAS'!G6*$B$6+'GASTOS_ADM_VTAS_FINANZAS'!G20+'GASTOS_ADM_VTAS_FINANZAS'!G21+MAX(0,('INGRESOS'!F19*$B$6-('COSTOS'!F27+'COSTOS'!F40+'COSTOS'!F47*$B$6)-'PLANILLA'!F6-'COSTOS'!F73-'GASTOS_ADM_VTAS_FINANZAS'!F15-'GASTOS_ADM_VTAS_FINANZAS'!F5+'GASTOS_ADM_VTAS_FINANZAS'!F7+'GASTOS_ADM_VTAS_FINANZAS'!F6*$B$6-'GASTOS_ADM_VTAS_FINANZAS'!F20))*'ESTADO DE RESULTADOS'!$B$23)</f>
        <v>238761.12</v>
      </c>
      <c r="I30" s="9">
        <f>'PRESUPUESTO CAJA'!I11*$B$6-(('COSTOS'!H27+'COSTOS'!H40+'COSTOS'!H47*$B$6)*'COSTOS'!$B$126+('COSTOS'!H27+'COSTOS'!H40+'COSTOS'!H47*$B$6)*'COSTOS'!$B$127*'COSTOS'!$B$128+('COSTOS'!G27+'COSTOS'!G40+'COSTOS'!G47*$B$6)*'COSTOS'!$B$127*(1-'COSTOS'!$B$128)+'PLANILLA'!H6+SUM('COSTOS'!H67:H71)+'GASTOS_ADM_VTAS_FINANZAS'!H12+'GASTOS_ADM_VTAS_FINANZAS'!H13+'GASTOS_ADM_VTAS_FINANZAS'!H5+'GASTOS_ADM_VTAS_FINANZAS'!H7+'GASTOS_ADM_VTAS_FINANZAS'!H6*$B$6+'GASTOS_ADM_VTAS_FINANZAS'!H20+'GASTOS_ADM_VTAS_FINANZAS'!H21+MAX(0,('INGRESOS'!G19*$B$6-('COSTOS'!G27+'COSTOS'!G40+'COSTOS'!G47*$B$6)-'PLANILLA'!G6-'COSTOS'!G73-'GASTOS_ADM_VTAS_FINANZAS'!G15-'GASTOS_ADM_VTAS_FINANZAS'!G5+'GASTOS_ADM_VTAS_FINANZAS'!G7+'GASTOS_ADM_VTAS_FINANZAS'!G6*$B$6-'GASTOS_ADM_VTAS_FINANZAS'!G20))*'ESTADO DE RESULTADOS'!$B$23)</f>
        <v>261238.04</v>
      </c>
      <c r="J30" s="9">
        <f>'PRESUPUESTO CAJA'!J11*$B$6-(('COSTOS'!I27+'COSTOS'!I40+'COSTOS'!I47*$B$6)*'COSTOS'!$B$126+('COSTOS'!I27+'COSTOS'!I40+'COSTOS'!I47*$B$6)*'COSTOS'!$B$127*'COSTOS'!$B$128+('COSTOS'!H27+'COSTOS'!H40+'COSTOS'!H47*$B$6)*'COSTOS'!$B$127*(1-'COSTOS'!$B$128)+'PLANILLA'!I6+SUM('COSTOS'!I67:I71)+'GASTOS_ADM_VTAS_FINANZAS'!I12+'GASTOS_ADM_VTAS_FINANZAS'!I13+'GASTOS_ADM_VTAS_FINANZAS'!I5+'GASTOS_ADM_VTAS_FINANZAS'!I7+'GASTOS_ADM_VTAS_FINANZAS'!I6*$B$6+'GASTOS_ADM_VTAS_FINANZAS'!I20+'GASTOS_ADM_VTAS_FINANZAS'!I21+MAX(0,('INGRESOS'!H19*$B$6-('COSTOS'!H27+'COSTOS'!H40+'COSTOS'!H47*$B$6)-'PLANILLA'!H6-'COSTOS'!H73-'GASTOS_ADM_VTAS_FINANZAS'!H15-'GASTOS_ADM_VTAS_FINANZAS'!H5+'GASTOS_ADM_VTAS_FINANZAS'!H7+'GASTOS_ADM_VTAS_FINANZAS'!H6*$B$6-'GASTOS_ADM_VTAS_FINANZAS'!H20))*'ESTADO DE RESULTADOS'!$B$23)</f>
        <v>238803.93</v>
      </c>
      <c r="K30" s="9">
        <f>'PRESUPUESTO CAJA'!K11*$B$6-(('COSTOS'!J27+'COSTOS'!J40+'COSTOS'!J47*$B$6)*'COSTOS'!$B$126+('COSTOS'!J27+'COSTOS'!J40+'COSTOS'!J47*$B$6)*'COSTOS'!$B$127*'COSTOS'!$B$128+('COSTOS'!I27+'COSTOS'!I40+'COSTOS'!I47*$B$6)*'COSTOS'!$B$127*(1-'COSTOS'!$B$128)+'PLANILLA'!J6+SUM('COSTOS'!J67:J71)+'GASTOS_ADM_VTAS_FINANZAS'!J12+'GASTOS_ADM_VTAS_FINANZAS'!J13+'GASTOS_ADM_VTAS_FINANZAS'!J5+'GASTOS_ADM_VTAS_FINANZAS'!J7+'GASTOS_ADM_VTAS_FINANZAS'!J6*$B$6+'GASTOS_ADM_VTAS_FINANZAS'!J20+'GASTOS_ADM_VTAS_FINANZAS'!J21+MAX(0,('INGRESOS'!I19*$B$6-('COSTOS'!I27+'COSTOS'!I40+'COSTOS'!I47*$B$6)-'PLANILLA'!I6-'COSTOS'!I73-'GASTOS_ADM_VTAS_FINANZAS'!I15-'GASTOS_ADM_VTAS_FINANZAS'!I5+'GASTOS_ADM_VTAS_FINANZAS'!I7+'GASTOS_ADM_VTAS_FINANZAS'!I6*$B$6-'GASTOS_ADM_VTAS_FINANZAS'!I20))*'ESTADO DE RESULTADOS'!$B$23)</f>
        <v>512132.98</v>
      </c>
      <c r="L30" s="9">
        <f>'PRESUPUESTO CAJA'!L11*$B$6-(('COSTOS'!K27+'COSTOS'!K40+'COSTOS'!K47*$B$6)*'COSTOS'!$B$126+('COSTOS'!K27+'COSTOS'!K40+'COSTOS'!K47*$B$6)*'COSTOS'!$B$127*'COSTOS'!$B$128+('COSTOS'!J27+'COSTOS'!J40+'COSTOS'!J47*$B$6)*'COSTOS'!$B$127*(1-'COSTOS'!$B$128)+'PLANILLA'!K6+SUM('COSTOS'!K67:K71)+'GASTOS_ADM_VTAS_FINANZAS'!K12+'GASTOS_ADM_VTAS_FINANZAS'!K13+'GASTOS_ADM_VTAS_FINANZAS'!K5+'GASTOS_ADM_VTAS_FINANZAS'!K7+'GASTOS_ADM_VTAS_FINANZAS'!K6*$B$6+'GASTOS_ADM_VTAS_FINANZAS'!K20+'GASTOS_ADM_VTAS_FINANZAS'!K21+MAX(0,('INGRESOS'!J19*$B$6-('COSTOS'!J27+'COSTOS'!J40+'COSTOS'!J47*$B$6)-'PLANILLA'!J6-'COSTOS'!J73-'GASTOS_ADM_VTAS_FINANZAS'!J15-'GASTOS_ADM_VTAS_FINANZAS'!J5+'GASTOS_ADM_VTAS_FINANZAS'!J7+'GASTOS_ADM_VTAS_FINANZAS'!J6*$B$6-'GASTOS_ADM_VTAS_FINANZAS'!J20))*'ESTADO DE RESULTADOS'!$B$23)+'BALANCE GENERAL PROYECTADO'!L7*$B$6+'DEPRECIACIONES AMORTIZACION'!B108-(('COSTOS'!K27+'COSTOS'!K40+'COSTOS'!K47*$B$6)*'COSTOS'!$B$127*(1-'COSTOS'!$B$128)+MAX(0,('INGRESOS'!K19*$B$6-('COSTOS'!K27+'COSTOS'!K40+'COSTOS'!K47*$B$6)-'PLANILLA'!K6-'COSTOS'!K73-'GASTOS_ADM_VTAS_FINANZAS'!K15-'GASTOS_ADM_VTAS_FINANZAS'!K5+'GASTOS_ADM_VTAS_FINANZAS'!K7+'GASTOS_ADM_VTAS_FINANZAS'!K6*$B$6-'GASTOS_ADM_VTAS_FINANZAS'!K20))*'ESTADO DE RESULTADOS'!$B$23)</f>
        <v>551849.13</v>
      </c>
    </row>
    <row r="31" spans="1:12" ht="18" customHeight="1">
      <c r="A31" s="5" t="s">
        <v>663</v>
      </c>
      <c r="B31" s="9">
        <f>B30/((1+'COSTO CAPITAL VAN TIR IR'!E11)^0)</f>
        <v>-300000.0</v>
      </c>
      <c r="C31" s="9">
        <f>C30/((1+'COSTO CAPITAL VAN TIR IR'!E11)^1)</f>
        <v>-79920.91</v>
      </c>
      <c r="D31" s="9">
        <f>D30/((1+'COSTO CAPITAL VAN TIR IR'!E11)^2)</f>
        <v>-39491.32</v>
      </c>
      <c r="E31" s="9">
        <f>E30/((1+'COSTO CAPITAL VAN TIR IR'!E11)^3)</f>
        <v>-7129.8</v>
      </c>
      <c r="F31" s="9">
        <f>F30/((1+'COSTO CAPITAL VAN TIR IR'!E11)^4)</f>
        <v>27908.58</v>
      </c>
      <c r="G31" s="9">
        <f>G30/((1+'COSTO CAPITAL VAN TIR IR'!E11)^5)</f>
        <v>26987.4</v>
      </c>
      <c r="H31" s="9">
        <f>H30/((1+'COSTO CAPITAL VAN TIR IR'!E11)^6)</f>
        <v>86398.63</v>
      </c>
      <c r="I31" s="9">
        <f>I30/((1+'COSTO CAPITAL VAN TIR IR'!E11)^7)</f>
        <v>79800.12</v>
      </c>
      <c r="J31" s="9">
        <f>J30/((1+'COSTO CAPITAL VAN TIR IR'!E11)^8)</f>
        <v>61578.97</v>
      </c>
      <c r="K31" s="9">
        <f>K30/((1+'COSTO CAPITAL VAN TIR IR'!E11)^9)</f>
        <v>111480.16</v>
      </c>
      <c r="L31" s="9">
        <f>L30/((1+'COSTO CAPITAL VAN TIR IR'!E11)^10)</f>
        <v>101404.93</v>
      </c>
    </row>
    <row r="33" spans="1:12" ht="18" customHeight="1">
      <c r="A33" s="8" t="s">
        <v>688</v>
      </c>
      <c r="B33" s="8">
        <f>SUM(B31:L31)</f>
        <v>69016.76889567848</v>
      </c>
    </row>
    <row r="34" spans="1:12" ht="18" customHeight="1">
      <c r="A34" s="8" t="s">
        <v>689</v>
      </c>
      <c r="B34" s="22">
        <f>IRR(B30:L30)</f>
        <v>0.20925136500888575</v>
      </c>
    </row>
    <row r="35" spans="1:12" ht="18" customHeight="1">
      <c r="A35" s="8" t="s">
        <v>678</v>
      </c>
      <c r="B35" s="7">
        <f>(B33+ABS(B30))/ABS(B30)</f>
        <v>1.230055896318928</v>
      </c>
    </row>
    <row r="36" spans="1:12" ht="18" customHeight="1">
      <c r="A36" s="3" t="s">
        <v>680</v>
      </c>
      <c r="B36" s="12" t="str">
        <f>IF(AND(B33&gt;0,B34&gt;'COSTO CAPITAL VAN TIR IR'!E11,B35&gt;1),"VIABLE","NO VIABLE")</f>
        <v>VIABLE</v>
      </c>
    </row>
    <row r="38" spans="1:12" ht="20" customHeight="1">
      <c r="A38" s="3" t="s">
        <v>729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ht="18" customHeight="1">
      <c r="A39" s="4" t="s">
        <v>3</v>
      </c>
      <c r="B39" s="4" t="s">
        <v>551</v>
      </c>
      <c r="C39" s="4" t="s">
        <v>4</v>
      </c>
      <c r="D39" s="4" t="s">
        <v>5</v>
      </c>
      <c r="E39" s="4" t="s">
        <v>6</v>
      </c>
      <c r="F39" s="4" t="s">
        <v>7</v>
      </c>
      <c r="G39" s="4" t="s">
        <v>8</v>
      </c>
      <c r="H39" s="4" t="s">
        <v>9</v>
      </c>
      <c r="I39" s="4" t="s">
        <v>10</v>
      </c>
      <c r="J39" s="4" t="s">
        <v>11</v>
      </c>
      <c r="K39" s="4" t="s">
        <v>12</v>
      </c>
      <c r="L39" s="4" t="s">
        <v>13</v>
      </c>
    </row>
    <row r="40" spans="1:12" ht="18" customHeight="1">
      <c r="A40" s="5" t="s">
        <v>687</v>
      </c>
      <c r="B40" s="9">
        <f>-'PLAN DE INVERSION'!C27</f>
        <v>-300000.0</v>
      </c>
      <c r="C40" s="9">
        <f>'PRESUPUESTO CAJA'!C11*$B$7-(('COSTOS'!B27+'COSTOS'!B40+'COSTOS'!B47*$B$7)*'COSTOS'!$B$126+('COSTOS'!B27+'COSTOS'!B40+'COSTOS'!B47*$B$7)*'COSTOS'!$B$127*'COSTOS'!$B$128+0*'COSTOS'!$B$127*(1-'COSTOS'!$B$128)+'PLANILLA'!B6+SUM('COSTOS'!B67:B71)+'GASTOS_ADM_VTAS_FINANZAS'!B12+'GASTOS_ADM_VTAS_FINANZAS'!B13+'GASTOS_ADM_VTAS_FINANZAS'!B5+'GASTOS_ADM_VTAS_FINANZAS'!B7+'GASTOS_ADM_VTAS_FINANZAS'!B6*$B$7+'GASTOS_ADM_VTAS_FINANZAS'!B20+'GASTOS_ADM_VTAS_FINANZAS'!B21+0)</f>
        <v>-49930.63</v>
      </c>
      <c r="D40" s="9">
        <f>'PRESUPUESTO CAJA'!D11*$B$7-(('COSTOS'!C27+'COSTOS'!C40+'COSTOS'!C47*$B$7)*'COSTOS'!$B$126+('COSTOS'!C27+'COSTOS'!C40+'COSTOS'!C47*$B$7)*'COSTOS'!$B$127*'COSTOS'!$B$128+('COSTOS'!B27+'COSTOS'!B40+'COSTOS'!B47*$B$7)*'COSTOS'!$B$127*(1-'COSTOS'!$B$128)+'PLANILLA'!C6+SUM('COSTOS'!C67:C71)+'GASTOS_ADM_VTAS_FINANZAS'!C12+'GASTOS_ADM_VTAS_FINANZAS'!C13+'GASTOS_ADM_VTAS_FINANZAS'!C5+'GASTOS_ADM_VTAS_FINANZAS'!C7+'GASTOS_ADM_VTAS_FINANZAS'!C6*$B$7+'GASTOS_ADM_VTAS_FINANZAS'!C20+'GASTOS_ADM_VTAS_FINANZAS'!C21+MAX(0,('INGRESOS'!B19*$B$7-('COSTOS'!B27+'COSTOS'!B40+'COSTOS'!B47*$B$7)-'PLANILLA'!B6-'COSTOS'!B73-'GASTOS_ADM_VTAS_FINANZAS'!B15-'GASTOS_ADM_VTAS_FINANZAS'!B5+'GASTOS_ADM_VTAS_FINANZAS'!B7+'GASTOS_ADM_VTAS_FINANZAS'!B6*$B$7-'GASTOS_ADM_VTAS_FINANZAS'!B20))*'ESTADO DE RESULTADOS'!$B$23)</f>
        <v>7975.66</v>
      </c>
      <c r="E40" s="9">
        <f>'PRESUPUESTO CAJA'!E11*$B$7-(('COSTOS'!D27+'COSTOS'!D40+'COSTOS'!D47*$B$7)*'COSTOS'!$B$126+('COSTOS'!D27+'COSTOS'!D40+'COSTOS'!D47*$B$7)*'COSTOS'!$B$127*'COSTOS'!$B$128+('COSTOS'!C27+'COSTOS'!C40+'COSTOS'!C47*$B$7)*'COSTOS'!$B$127*(1-'COSTOS'!$B$128)+'PLANILLA'!D6+SUM('COSTOS'!D67:D71)+'GASTOS_ADM_VTAS_FINANZAS'!D12+'GASTOS_ADM_VTAS_FINANZAS'!D13+'GASTOS_ADM_VTAS_FINANZAS'!D5+'GASTOS_ADM_VTAS_FINANZAS'!D7+'GASTOS_ADM_VTAS_FINANZAS'!D6*$B$7+'GASTOS_ADM_VTAS_FINANZAS'!D20+'GASTOS_ADM_VTAS_FINANZAS'!D21+MAX(0,('INGRESOS'!C19*$B$7-('COSTOS'!C27+'COSTOS'!C40+'COSTOS'!C47*$B$7)-'PLANILLA'!C6-'COSTOS'!C73-'GASTOS_ADM_VTAS_FINANZAS'!C15-'GASTOS_ADM_VTAS_FINANZAS'!C5+'GASTOS_ADM_VTAS_FINANZAS'!C7+'GASTOS_ADM_VTAS_FINANZAS'!C6*$B$7-'GASTOS_ADM_VTAS_FINANZAS'!C20))*'ESTADO DE RESULTADOS'!$B$23)</f>
        <v>67423.78</v>
      </c>
      <c r="F40" s="9">
        <f>'PRESUPUESTO CAJA'!F11*$B$7-(('COSTOS'!E27+'COSTOS'!E40+'COSTOS'!E47*$B$7)*'COSTOS'!$B$126+('COSTOS'!E27+'COSTOS'!E40+'COSTOS'!E47*$B$7)*'COSTOS'!$B$127*'COSTOS'!$B$128+('COSTOS'!D27+'COSTOS'!D40+'COSTOS'!D47*$B$7)*'COSTOS'!$B$127*(1-'COSTOS'!$B$128)+'PLANILLA'!E6+SUM('COSTOS'!E67:E71)+'GASTOS_ADM_VTAS_FINANZAS'!E12+'GASTOS_ADM_VTAS_FINANZAS'!E13+'GASTOS_ADM_VTAS_FINANZAS'!E5+'GASTOS_ADM_VTAS_FINANZAS'!E7+'GASTOS_ADM_VTAS_FINANZAS'!E6*$B$7+'GASTOS_ADM_VTAS_FINANZAS'!E20+'GASTOS_ADM_VTAS_FINANZAS'!E21+MAX(0,('INGRESOS'!D19*$B$7-('COSTOS'!D27+'COSTOS'!D40+'COSTOS'!D47*$B$7)-'PLANILLA'!D6-'COSTOS'!D73-'GASTOS_ADM_VTAS_FINANZAS'!D15-'GASTOS_ADM_VTAS_FINANZAS'!D5+'GASTOS_ADM_VTAS_FINANZAS'!D7+'GASTOS_ADM_VTAS_FINANZAS'!D6*$B$7-'GASTOS_ADM_VTAS_FINANZAS'!D20))*'ESTADO DE RESULTADOS'!$B$23)</f>
        <v>135746.16</v>
      </c>
      <c r="G40" s="9">
        <f>'PRESUPUESTO CAJA'!G11*$B$7-(('COSTOS'!F27+'COSTOS'!F40+'COSTOS'!F47*$B$7)*'COSTOS'!$B$126+('COSTOS'!F27+'COSTOS'!F40+'COSTOS'!F47*$B$7)*'COSTOS'!$B$127*'COSTOS'!$B$128+('COSTOS'!E27+'COSTOS'!E40+'COSTOS'!E47*$B$7)*'COSTOS'!$B$127*(1-'COSTOS'!$B$128)+'PLANILLA'!F6+SUM('COSTOS'!F67:F71)+'GASTOS_ADM_VTAS_FINANZAS'!F12+'GASTOS_ADM_VTAS_FINANZAS'!F13+'GASTOS_ADM_VTAS_FINANZAS'!F5+'GASTOS_ADM_VTAS_FINANZAS'!F7+'GASTOS_ADM_VTAS_FINANZAS'!F6*$B$7+'GASTOS_ADM_VTAS_FINANZAS'!F20+'GASTOS_ADM_VTAS_FINANZAS'!F21+MAX(0,('INGRESOS'!E19*$B$7-('COSTOS'!E27+'COSTOS'!E40+'COSTOS'!E47*$B$7)-'PLANILLA'!E6-'COSTOS'!E73-'GASTOS_ADM_VTAS_FINANZAS'!E15-'GASTOS_ADM_VTAS_FINANZAS'!E5+'GASTOS_ADM_VTAS_FINANZAS'!E7+'GASTOS_ADM_VTAS_FINANZAS'!E6*$B$7-'GASTOS_ADM_VTAS_FINANZAS'!E20))*'ESTADO DE RESULTADOS'!$B$23)</f>
        <v>135157.29</v>
      </c>
      <c r="H40" s="9">
        <f>'PRESUPUESTO CAJA'!H11*$B$7-(('COSTOS'!G27+'COSTOS'!G40+'COSTOS'!G47*$B$7)*'COSTOS'!$B$126+('COSTOS'!G27+'COSTOS'!G40+'COSTOS'!G47*$B$7)*'COSTOS'!$B$127*'COSTOS'!$B$128+('COSTOS'!F27+'COSTOS'!F40+'COSTOS'!F47*$B$7)*'COSTOS'!$B$127*(1-'COSTOS'!$B$128)+'PLANILLA'!G6+SUM('COSTOS'!G67:G71)+'GASTOS_ADM_VTAS_FINANZAS'!G12+'GASTOS_ADM_VTAS_FINANZAS'!G13+'GASTOS_ADM_VTAS_FINANZAS'!G5+'GASTOS_ADM_VTAS_FINANZAS'!G7+'GASTOS_ADM_VTAS_FINANZAS'!G6*$B$7+'GASTOS_ADM_VTAS_FINANZAS'!G20+'GASTOS_ADM_VTAS_FINANZAS'!G21+MAX(0,('INGRESOS'!F19*$B$7-('COSTOS'!F27+'COSTOS'!F40+'COSTOS'!F47*$B$7)-'PLANILLA'!F6-'COSTOS'!F73-'GASTOS_ADM_VTAS_FINANZAS'!F15-'GASTOS_ADM_VTAS_FINANZAS'!F5+'GASTOS_ADM_VTAS_FINANZAS'!F7+'GASTOS_ADM_VTAS_FINANZAS'!F6*$B$7-'GASTOS_ADM_VTAS_FINANZAS'!F20))*'ESTADO DE RESULTADOS'!$B$23)</f>
        <v>355452.28</v>
      </c>
      <c r="I40" s="9">
        <f>'PRESUPUESTO CAJA'!I11*$B$7-(('COSTOS'!H27+'COSTOS'!H40+'COSTOS'!H47*$B$7)*'COSTOS'!$B$126+('COSTOS'!H27+'COSTOS'!H40+'COSTOS'!H47*$B$7)*'COSTOS'!$B$127*'COSTOS'!$B$128+('COSTOS'!G27+'COSTOS'!G40+'COSTOS'!G47*$B$7)*'COSTOS'!$B$127*(1-'COSTOS'!$B$128)+'PLANILLA'!H6+SUM('COSTOS'!H67:H71)+'GASTOS_ADM_VTAS_FINANZAS'!H12+'GASTOS_ADM_VTAS_FINANZAS'!H13+'GASTOS_ADM_VTAS_FINANZAS'!H5+'GASTOS_ADM_VTAS_FINANZAS'!H7+'GASTOS_ADM_VTAS_FINANZAS'!H6*$B$7+'GASTOS_ADM_VTAS_FINANZAS'!H20+'GASTOS_ADM_VTAS_FINANZAS'!H21+MAX(0,('INGRESOS'!G19*$B$7-('COSTOS'!G27+'COSTOS'!G40+'COSTOS'!G47*$B$7)-'PLANILLA'!G6-'COSTOS'!G73-'GASTOS_ADM_VTAS_FINANZAS'!G15-'GASTOS_ADM_VTAS_FINANZAS'!G5+'GASTOS_ADM_VTAS_FINANZAS'!G7+'GASTOS_ADM_VTAS_FINANZAS'!G6*$B$7-'GASTOS_ADM_VTAS_FINANZAS'!G20))*'ESTADO DE RESULTADOS'!$B$23)</f>
        <v>379821.36</v>
      </c>
      <c r="J40" s="9">
        <f>'PRESUPUESTO CAJA'!J11*$B$7-(('COSTOS'!I27+'COSTOS'!I40+'COSTOS'!I47*$B$7)*'COSTOS'!$B$126+('COSTOS'!I27+'COSTOS'!I40+'COSTOS'!I47*$B$7)*'COSTOS'!$B$127*'COSTOS'!$B$128+('COSTOS'!H27+'COSTOS'!H40+'COSTOS'!H47*$B$7)*'COSTOS'!$B$127*(1-'COSTOS'!$B$128)+'PLANILLA'!I6+SUM('COSTOS'!I67:I71)+'GASTOS_ADM_VTAS_FINANZAS'!I12+'GASTOS_ADM_VTAS_FINANZAS'!I13+'GASTOS_ADM_VTAS_FINANZAS'!I5+'GASTOS_ADM_VTAS_FINANZAS'!I7+'GASTOS_ADM_VTAS_FINANZAS'!I6*$B$7+'GASTOS_ADM_VTAS_FINANZAS'!I20+'GASTOS_ADM_VTAS_FINANZAS'!I21+MAX(0,('INGRESOS'!H19*$B$7-('COSTOS'!H27+'COSTOS'!H40+'COSTOS'!H47*$B$7)-'PLANILLA'!H6-'COSTOS'!H73-'GASTOS_ADM_VTAS_FINANZAS'!H15-'GASTOS_ADM_VTAS_FINANZAS'!H5+'GASTOS_ADM_VTAS_FINANZAS'!H7+'GASTOS_ADM_VTAS_FINANZAS'!H6*$B$7-'GASTOS_ADM_VTAS_FINANZAS'!H20))*'ESTADO DE RESULTADOS'!$B$23)</f>
        <v>363671.79</v>
      </c>
      <c r="K40" s="9">
        <f>'PRESUPUESTO CAJA'!K11*$B$7-(('COSTOS'!J27+'COSTOS'!J40+'COSTOS'!J47*$B$7)*'COSTOS'!$B$126+('COSTOS'!J27+'COSTOS'!J40+'COSTOS'!J47*$B$7)*'COSTOS'!$B$127*'COSTOS'!$B$128+('COSTOS'!I27+'COSTOS'!I40+'COSTOS'!I47*$B$7)*'COSTOS'!$B$127*(1-'COSTOS'!$B$128)+'PLANILLA'!J6+SUM('COSTOS'!J67:J71)+'GASTOS_ADM_VTAS_FINANZAS'!J12+'GASTOS_ADM_VTAS_FINANZAS'!J13+'GASTOS_ADM_VTAS_FINANZAS'!J5+'GASTOS_ADM_VTAS_FINANZAS'!J7+'GASTOS_ADM_VTAS_FINANZAS'!J6*$B$7+'GASTOS_ADM_VTAS_FINANZAS'!J20+'GASTOS_ADM_VTAS_FINANZAS'!J21+MAX(0,('INGRESOS'!I19*$B$7-('COSTOS'!I27+'COSTOS'!I40+'COSTOS'!I47*$B$7)-'PLANILLA'!I6-'COSTOS'!I73-'GASTOS_ADM_VTAS_FINANZAS'!I15-'GASTOS_ADM_VTAS_FINANZAS'!I5+'GASTOS_ADM_VTAS_FINANZAS'!I7+'GASTOS_ADM_VTAS_FINANZAS'!I6*$B$7-'GASTOS_ADM_VTAS_FINANZAS'!I20))*'ESTADO DE RESULTADOS'!$B$23)</f>
        <v>684372.55</v>
      </c>
      <c r="L40" s="9">
        <f>'PRESUPUESTO CAJA'!L11*$B$7-(('COSTOS'!K27+'COSTOS'!K40+'COSTOS'!K47*$B$7)*'COSTOS'!$B$126+('COSTOS'!K27+'COSTOS'!K40+'COSTOS'!K47*$B$7)*'COSTOS'!$B$127*'COSTOS'!$B$128+('COSTOS'!J27+'COSTOS'!J40+'COSTOS'!J47*$B$7)*'COSTOS'!$B$127*(1-'COSTOS'!$B$128)+'PLANILLA'!K6+SUM('COSTOS'!K67:K71)+'GASTOS_ADM_VTAS_FINANZAS'!K12+'GASTOS_ADM_VTAS_FINANZAS'!K13+'GASTOS_ADM_VTAS_FINANZAS'!K5+'GASTOS_ADM_VTAS_FINANZAS'!K7+'GASTOS_ADM_VTAS_FINANZAS'!K6*$B$7+'GASTOS_ADM_VTAS_FINANZAS'!K20+'GASTOS_ADM_VTAS_FINANZAS'!K21+MAX(0,('INGRESOS'!J19*$B$7-('COSTOS'!J27+'COSTOS'!J40+'COSTOS'!J47*$B$7)-'PLANILLA'!J6-'COSTOS'!J73-'GASTOS_ADM_VTAS_FINANZAS'!J15-'GASTOS_ADM_VTAS_FINANZAS'!J5+'GASTOS_ADM_VTAS_FINANZAS'!J7+'GASTOS_ADM_VTAS_FINANZAS'!J6*$B$7-'GASTOS_ADM_VTAS_FINANZAS'!J20))*'ESTADO DE RESULTADOS'!$B$23)+'BALANCE GENERAL PROYECTADO'!L7*$B$7+'DEPRECIACIONES AMORTIZACION'!B108-(('COSTOS'!K27+'COSTOS'!K40+'COSTOS'!K47*$B$7)*'COSTOS'!$B$127*(1-'COSTOS'!$B$128)+MAX(0,('INGRESOS'!K19*$B$7-('COSTOS'!K27+'COSTOS'!K40+'COSTOS'!K47*$B$7)-'PLANILLA'!K6-'COSTOS'!K73-'GASTOS_ADM_VTAS_FINANZAS'!K15-'GASTOS_ADM_VTAS_FINANZAS'!K5+'GASTOS_ADM_VTAS_FINANZAS'!K7+'GASTOS_ADM_VTAS_FINANZAS'!K6*$B$7-'GASTOS_ADM_VTAS_FINANZAS'!K20))*'ESTADO DE RESULTADOS'!$B$23)</f>
        <v>686908.84</v>
      </c>
    </row>
    <row r="41" spans="1:12" ht="18" customHeight="1">
      <c r="A41" s="5" t="s">
        <v>663</v>
      </c>
      <c r="B41" s="9">
        <f>B40/((1+'COSTO CAPITAL VAN TIR IR'!E11)^0)</f>
        <v>-300000.0</v>
      </c>
      <c r="C41" s="9">
        <f>C40/((1+'COSTO CAPITAL VAN TIR IR'!E11)^1)</f>
        <v>-42149.35</v>
      </c>
      <c r="D41" s="9">
        <f>D40/((1+'COSTO CAPITAL VAN TIR IR'!E11)^2)</f>
        <v>5683.48</v>
      </c>
      <c r="E41" s="9">
        <f>E40/((1+'COSTO CAPITAL VAN TIR IR'!E11)^3)</f>
        <v>40558.77</v>
      </c>
      <c r="F41" s="9">
        <f>F40/((1+'COSTO CAPITAL VAN TIR IR'!E11)^4)</f>
        <v>68932.35</v>
      </c>
      <c r="G41" s="9">
        <f>G40/((1+'COSTO CAPITAL VAN TIR IR'!E11)^5)</f>
        <v>57937.38</v>
      </c>
      <c r="H41" s="9">
        <f>H40/((1+'COSTO CAPITAL VAN TIR IR'!E11)^6)</f>
        <v>128624.75</v>
      </c>
      <c r="I41" s="9">
        <f>I40/((1+'COSTO CAPITAL VAN TIR IR'!E11)^7)</f>
        <v>116023.64</v>
      </c>
      <c r="J41" s="9">
        <f>J40/((1+'COSTO CAPITAL VAN TIR IR'!E11)^8)</f>
        <v>93777.92</v>
      </c>
      <c r="K41" s="9">
        <f>K40/((1+'COSTO CAPITAL VAN TIR IR'!E11)^9)</f>
        <v>148972.95</v>
      </c>
      <c r="L41" s="9">
        <f>L40/((1+'COSTO CAPITAL VAN TIR IR'!E11)^10)</f>
        <v>126222.81</v>
      </c>
    </row>
    <row r="43" spans="1:12" ht="18" customHeight="1">
      <c r="A43" s="8" t="s">
        <v>688</v>
      </c>
      <c r="B43" s="8">
        <f>SUM(B41:L41)</f>
        <v>444584.68741177063</v>
      </c>
    </row>
    <row r="44" spans="1:12" ht="18" customHeight="1">
      <c r="A44" s="8" t="s">
        <v>689</v>
      </c>
      <c r="B44" s="22">
        <f>IRR(B40:L40)</f>
        <v>0.3399147225835105</v>
      </c>
    </row>
    <row r="45" spans="1:12" ht="18" customHeight="1">
      <c r="A45" s="8" t="s">
        <v>678</v>
      </c>
      <c r="B45" s="7">
        <f>(B43+ABS(B40))/ABS(B40)</f>
        <v>2.4819489580392355</v>
      </c>
    </row>
    <row r="46" spans="1:12" ht="18" customHeight="1">
      <c r="A46" s="3" t="s">
        <v>680</v>
      </c>
      <c r="B46" s="12" t="str">
        <f>IF(AND(B43&gt;0,B44&gt;'COSTO CAPITAL VAN TIR IR'!E11,B45&gt;1),"VIABLE","NO VIABLE")</f>
        <v>VIABLE</v>
      </c>
    </row>
    <row r="48" spans="1:12" ht="20" customHeight="1">
      <c r="A48" s="3" t="s">
        <v>730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</row>
    <row r="49" spans="1:12" ht="18" customHeight="1">
      <c r="A49" s="4" t="s">
        <v>3</v>
      </c>
      <c r="B49" s="4" t="s">
        <v>551</v>
      </c>
      <c r="C49" s="4" t="s">
        <v>4</v>
      </c>
      <c r="D49" s="4" t="s">
        <v>5</v>
      </c>
      <c r="E49" s="4" t="s">
        <v>6</v>
      </c>
      <c r="F49" s="4" t="s">
        <v>7</v>
      </c>
      <c r="G49" s="4" t="s">
        <v>8</v>
      </c>
      <c r="H49" s="4" t="s">
        <v>9</v>
      </c>
      <c r="I49" s="4" t="s">
        <v>10</v>
      </c>
      <c r="J49" s="4" t="s">
        <v>11</v>
      </c>
      <c r="K49" s="4" t="s">
        <v>12</v>
      </c>
      <c r="L49" s="4" t="s">
        <v>13</v>
      </c>
    </row>
    <row r="50" spans="1:12" ht="18" customHeight="1">
      <c r="A50" s="5" t="s">
        <v>687</v>
      </c>
      <c r="B50" s="9">
        <f>-'PLAN DE INVERSION'!C27</f>
        <v>-300000.0</v>
      </c>
      <c r="C50" s="9">
        <f>'PRESUPUESTO CAJA'!C11*$B$8-(('COSTOS'!B27+'COSTOS'!B40+'COSTOS'!B47*$B$8)*'COSTOS'!$B$126+('COSTOS'!B27+'COSTOS'!B40+'COSTOS'!B47*$B$8)*'COSTOS'!$B$127*'COSTOS'!$B$128+0*'COSTOS'!$B$127*(1-'COSTOS'!$B$128)+'PLANILLA'!B6+SUM('COSTOS'!B67:B71)+'GASTOS_ADM_VTAS_FINANZAS'!B12+'GASTOS_ADM_VTAS_FINANZAS'!B13+'GASTOS_ADM_VTAS_FINANZAS'!B5+'GASTOS_ADM_VTAS_FINANZAS'!B7+'GASTOS_ADM_VTAS_FINANZAS'!B6*$B$8+'GASTOS_ADM_VTAS_FINANZAS'!B20+'GASTOS_ADM_VTAS_FINANZAS'!B21+0)</f>
        <v>-5185.99</v>
      </c>
      <c r="D50" s="9">
        <f>'PRESUPUESTO CAJA'!D11*$B$8-(('COSTOS'!C27+'COSTOS'!C40+'COSTOS'!C47*$B$8)*'COSTOS'!$B$126+('COSTOS'!C27+'COSTOS'!C40+'COSTOS'!C47*$B$8)*'COSTOS'!$B$127*'COSTOS'!$B$128+('COSTOS'!B27+'COSTOS'!B40+'COSTOS'!B47*$B$8)*'COSTOS'!$B$127*(1-'COSTOS'!$B$128)+'PLANILLA'!C6+SUM('COSTOS'!C67:C71)+'GASTOS_ADM_VTAS_FINANZAS'!C12+'GASTOS_ADM_VTAS_FINANZAS'!C13+'GASTOS_ADM_VTAS_FINANZAS'!C5+'GASTOS_ADM_VTAS_FINANZAS'!C7+'GASTOS_ADM_VTAS_FINANZAS'!C6*$B$8+'GASTOS_ADM_VTAS_FINANZAS'!C20+'GASTOS_ADM_VTAS_FINANZAS'!C21+MAX(0,('INGRESOS'!B19*$B$8-('COSTOS'!B27+'COSTOS'!B40+'COSTOS'!B47*$B$8)-'PLANILLA'!B6-'COSTOS'!B73-'GASTOS_ADM_VTAS_FINANZAS'!B15-'GASTOS_ADM_VTAS_FINANZAS'!B5+'GASTOS_ADM_VTAS_FINANZAS'!B7+'GASTOS_ADM_VTAS_FINANZAS'!B6*$B$8-'GASTOS_ADM_VTAS_FINANZAS'!B20))*'ESTADO DE RESULTADOS'!$B$23)</f>
        <v>71369.72</v>
      </c>
      <c r="E50" s="9">
        <f>'PRESUPUESTO CAJA'!E11*$B$8-(('COSTOS'!D27+'COSTOS'!D40+'COSTOS'!D47*$B$8)*'COSTOS'!$B$126+('COSTOS'!D27+'COSTOS'!D40+'COSTOS'!D47*$B$8)*'COSTOS'!$B$127*'COSTOS'!$B$128+('COSTOS'!C27+'COSTOS'!C40+'COSTOS'!C47*$B$8)*'COSTOS'!$B$127*(1-'COSTOS'!$B$128)+'PLANILLA'!D6+SUM('COSTOS'!D67:D71)+'GASTOS_ADM_VTAS_FINANZAS'!D12+'GASTOS_ADM_VTAS_FINANZAS'!D13+'GASTOS_ADM_VTAS_FINANZAS'!D5+'GASTOS_ADM_VTAS_FINANZAS'!D7+'GASTOS_ADM_VTAS_FINANZAS'!D6*$B$8+'GASTOS_ADM_VTAS_FINANZAS'!D20+'GASTOS_ADM_VTAS_FINANZAS'!D21+MAX(0,('INGRESOS'!C19*$B$8-('COSTOS'!C27+'COSTOS'!C40+'COSTOS'!C47*$B$8)-'PLANILLA'!C6-'COSTOS'!C73-'GASTOS_ADM_VTAS_FINANZAS'!C15-'GASTOS_ADM_VTAS_FINANZAS'!C5+'GASTOS_ADM_VTAS_FINANZAS'!C7+'GASTOS_ADM_VTAS_FINANZAS'!C6*$B$8-'GASTOS_ADM_VTAS_FINANZAS'!C20))*'ESTADO DE RESULTADOS'!$B$23)</f>
        <v>136187.9</v>
      </c>
      <c r="F50" s="9">
        <f>'PRESUPUESTO CAJA'!F11*$B$8-(('COSTOS'!E27+'COSTOS'!E40+'COSTOS'!E47*$B$8)*'COSTOS'!$B$126+('COSTOS'!E27+'COSTOS'!E40+'COSTOS'!E47*$B$8)*'COSTOS'!$B$127*'COSTOS'!$B$128+('COSTOS'!D27+'COSTOS'!D40+'COSTOS'!D47*$B$8)*'COSTOS'!$B$127*(1-'COSTOS'!$B$128)+'PLANILLA'!E6+SUM('COSTOS'!E67:E71)+'GASTOS_ADM_VTAS_FINANZAS'!E12+'GASTOS_ADM_VTAS_FINANZAS'!E13+'GASTOS_ADM_VTAS_FINANZAS'!E5+'GASTOS_ADM_VTAS_FINANZAS'!E7+'GASTOS_ADM_VTAS_FINANZAS'!E6*$B$8+'GASTOS_ADM_VTAS_FINANZAS'!E20+'GASTOS_ADM_VTAS_FINANZAS'!E21+MAX(0,('INGRESOS'!D19*$B$8-('COSTOS'!D27+'COSTOS'!D40+'COSTOS'!D47*$B$8)-'PLANILLA'!D6-'COSTOS'!D73-'GASTOS_ADM_VTAS_FINANZAS'!D15-'GASTOS_ADM_VTAS_FINANZAS'!D5+'GASTOS_ADM_VTAS_FINANZAS'!D7+'GASTOS_ADM_VTAS_FINANZAS'!D6*$B$8-'GASTOS_ADM_VTAS_FINANZAS'!D20))*'ESTADO DE RESULTADOS'!$B$23)</f>
        <v>207506.63</v>
      </c>
      <c r="G50" s="9">
        <f>'PRESUPUESTO CAJA'!G11*$B$8-(('COSTOS'!F27+'COSTOS'!F40+'COSTOS'!F47*$B$8)*'COSTOS'!$B$126+('COSTOS'!F27+'COSTOS'!F40+'COSTOS'!F47*$B$8)*'COSTOS'!$B$127*'COSTOS'!$B$128+('COSTOS'!E27+'COSTOS'!E40+'COSTOS'!E47*$B$8)*'COSTOS'!$B$127*(1-'COSTOS'!$B$128)+'PLANILLA'!F6+SUM('COSTOS'!F67:F71)+'GASTOS_ADM_VTAS_FINANZAS'!F12+'GASTOS_ADM_VTAS_FINANZAS'!F13+'GASTOS_ADM_VTAS_FINANZAS'!F5+'GASTOS_ADM_VTAS_FINANZAS'!F7+'GASTOS_ADM_VTAS_FINANZAS'!F6*$B$8+'GASTOS_ADM_VTAS_FINANZAS'!F20+'GASTOS_ADM_VTAS_FINANZAS'!F21+MAX(0,('INGRESOS'!E19*$B$8-('COSTOS'!E27+'COSTOS'!E40+'COSTOS'!E47*$B$8)-'PLANILLA'!E6-'COSTOS'!E73-'GASTOS_ADM_VTAS_FINANZAS'!E15-'GASTOS_ADM_VTAS_FINANZAS'!E5+'GASTOS_ADM_VTAS_FINANZAS'!E7+'GASTOS_ADM_VTAS_FINANZAS'!E6*$B$8-'GASTOS_ADM_VTAS_FINANZAS'!E20))*'ESTADO DE RESULTADOS'!$B$23)</f>
        <v>207357.91</v>
      </c>
      <c r="H50" s="9">
        <f>'PRESUPUESTO CAJA'!H11*$B$8-(('COSTOS'!G27+'COSTOS'!G40+'COSTOS'!G47*$B$8)*'COSTOS'!$B$126+('COSTOS'!G27+'COSTOS'!G40+'COSTOS'!G47*$B$8)*'COSTOS'!$B$127*'COSTOS'!$B$128+('COSTOS'!F27+'COSTOS'!F40+'COSTOS'!F47*$B$8)*'COSTOS'!$B$127*(1-'COSTOS'!$B$128)+'PLANILLA'!G6+SUM('COSTOS'!G67:G71)+'GASTOS_ADM_VTAS_FINANZAS'!G12+'GASTOS_ADM_VTAS_FINANZAS'!G13+'GASTOS_ADM_VTAS_FINANZAS'!G5+'GASTOS_ADM_VTAS_FINANZAS'!G7+'GASTOS_ADM_VTAS_FINANZAS'!G6*$B$8+'GASTOS_ADM_VTAS_FINANZAS'!G20+'GASTOS_ADM_VTAS_FINANZAS'!G21+MAX(0,('INGRESOS'!F19*$B$8-('COSTOS'!F27+'COSTOS'!F40+'COSTOS'!F47*$B$8)-'PLANILLA'!F6-'COSTOS'!F73-'GASTOS_ADM_VTAS_FINANZAS'!F15-'GASTOS_ADM_VTAS_FINANZAS'!F5+'GASTOS_ADM_VTAS_FINANZAS'!F7+'GASTOS_ADM_VTAS_FINANZAS'!F6*$B$8-'GASTOS_ADM_VTAS_FINANZAS'!F20))*'ESTADO DE RESULTADOS'!$B$23)</f>
        <v>472143.45</v>
      </c>
      <c r="I50" s="9">
        <f>'PRESUPUESTO CAJA'!I11*$B$8-(('COSTOS'!H27+'COSTOS'!H40+'COSTOS'!H47*$B$8)*'COSTOS'!$B$126+('COSTOS'!H27+'COSTOS'!H40+'COSTOS'!H47*$B$8)*'COSTOS'!$B$127*'COSTOS'!$B$128+('COSTOS'!G27+'COSTOS'!G40+'COSTOS'!G47*$B$8)*'COSTOS'!$B$127*(1-'COSTOS'!$B$128)+'PLANILLA'!H6+SUM('COSTOS'!H67:H71)+'GASTOS_ADM_VTAS_FINANZAS'!H12+'GASTOS_ADM_VTAS_FINANZAS'!H13+'GASTOS_ADM_VTAS_FINANZAS'!H5+'GASTOS_ADM_VTAS_FINANZAS'!H7+'GASTOS_ADM_VTAS_FINANZAS'!H6*$B$8+'GASTOS_ADM_VTAS_FINANZAS'!H20+'GASTOS_ADM_VTAS_FINANZAS'!H21+MAX(0,('INGRESOS'!G19*$B$8-('COSTOS'!G27+'COSTOS'!G40+'COSTOS'!G47*$B$8)-'PLANILLA'!G6-'COSTOS'!G73-'GASTOS_ADM_VTAS_FINANZAS'!G15-'GASTOS_ADM_VTAS_FINANZAS'!G5+'GASTOS_ADM_VTAS_FINANZAS'!G7+'GASTOS_ADM_VTAS_FINANZAS'!G6*$B$8-'GASTOS_ADM_VTAS_FINANZAS'!G20))*'ESTADO DE RESULTADOS'!$B$23)</f>
        <v>498404.68</v>
      </c>
      <c r="J50" s="9">
        <f>'PRESUPUESTO CAJA'!J11*$B$8-(('COSTOS'!I27+'COSTOS'!I40+'COSTOS'!I47*$B$8)*'COSTOS'!$B$126+('COSTOS'!I27+'COSTOS'!I40+'COSTOS'!I47*$B$8)*'COSTOS'!$B$127*'COSTOS'!$B$128+('COSTOS'!H27+'COSTOS'!H40+'COSTOS'!H47*$B$8)*'COSTOS'!$B$127*(1-'COSTOS'!$B$128)+'PLANILLA'!I6+SUM('COSTOS'!I67:I71)+'GASTOS_ADM_VTAS_FINANZAS'!I12+'GASTOS_ADM_VTAS_FINANZAS'!I13+'GASTOS_ADM_VTAS_FINANZAS'!I5+'GASTOS_ADM_VTAS_FINANZAS'!I7+'GASTOS_ADM_VTAS_FINANZAS'!I6*$B$8+'GASTOS_ADM_VTAS_FINANZAS'!I20+'GASTOS_ADM_VTAS_FINANZAS'!I21+MAX(0,('INGRESOS'!H19*$B$8-('COSTOS'!H27+'COSTOS'!H40+'COSTOS'!H47*$B$8)-'PLANILLA'!H6-'COSTOS'!H73-'GASTOS_ADM_VTAS_FINANZAS'!H15-'GASTOS_ADM_VTAS_FINANZAS'!H5+'GASTOS_ADM_VTAS_FINANZAS'!H7+'GASTOS_ADM_VTAS_FINANZAS'!H6*$B$8-'GASTOS_ADM_VTAS_FINANZAS'!H20))*'ESTADO DE RESULTADOS'!$B$23)</f>
        <v>488539.65</v>
      </c>
      <c r="K50" s="9">
        <f>'PRESUPUESTO CAJA'!K11*$B$8-(('COSTOS'!J27+'COSTOS'!J40+'COSTOS'!J47*$B$8)*'COSTOS'!$B$126+('COSTOS'!J27+'COSTOS'!J40+'COSTOS'!J47*$B$8)*'COSTOS'!$B$127*'COSTOS'!$B$128+('COSTOS'!I27+'COSTOS'!I40+'COSTOS'!I47*$B$8)*'COSTOS'!$B$127*(1-'COSTOS'!$B$128)+'PLANILLA'!J6+SUM('COSTOS'!J67:J71)+'GASTOS_ADM_VTAS_FINANZAS'!J12+'GASTOS_ADM_VTAS_FINANZAS'!J13+'GASTOS_ADM_VTAS_FINANZAS'!J5+'GASTOS_ADM_VTAS_FINANZAS'!J7+'GASTOS_ADM_VTAS_FINANZAS'!J6*$B$8+'GASTOS_ADM_VTAS_FINANZAS'!J20+'GASTOS_ADM_VTAS_FINANZAS'!J21+MAX(0,('INGRESOS'!I19*$B$8-('COSTOS'!I27+'COSTOS'!I40+'COSTOS'!I47*$B$8)-'PLANILLA'!I6-'COSTOS'!I73-'GASTOS_ADM_VTAS_FINANZAS'!I15-'GASTOS_ADM_VTAS_FINANZAS'!I5+'GASTOS_ADM_VTAS_FINANZAS'!I7+'GASTOS_ADM_VTAS_FINANZAS'!I6*$B$8-'GASTOS_ADM_VTAS_FINANZAS'!I20))*'ESTADO DE RESULTADOS'!$B$23)</f>
        <v>856612.11</v>
      </c>
      <c r="L50" s="9">
        <f>'PRESUPUESTO CAJA'!L11*$B$8-(('COSTOS'!K27+'COSTOS'!K40+'COSTOS'!K47*$B$8)*'COSTOS'!$B$126+('COSTOS'!K27+'COSTOS'!K40+'COSTOS'!K47*$B$8)*'COSTOS'!$B$127*'COSTOS'!$B$128+('COSTOS'!J27+'COSTOS'!J40+'COSTOS'!J47*$B$8)*'COSTOS'!$B$127*(1-'COSTOS'!$B$128)+'PLANILLA'!K6+SUM('COSTOS'!K67:K71)+'GASTOS_ADM_VTAS_FINANZAS'!K12+'GASTOS_ADM_VTAS_FINANZAS'!K13+'GASTOS_ADM_VTAS_FINANZAS'!K5+'GASTOS_ADM_VTAS_FINANZAS'!K7+'GASTOS_ADM_VTAS_FINANZAS'!K6*$B$8+'GASTOS_ADM_VTAS_FINANZAS'!K20+'GASTOS_ADM_VTAS_FINANZAS'!K21+MAX(0,('INGRESOS'!J19*$B$8-('COSTOS'!J27+'COSTOS'!J40+'COSTOS'!J47*$B$8)-'PLANILLA'!J6-'COSTOS'!J73-'GASTOS_ADM_VTAS_FINANZAS'!J15-'GASTOS_ADM_VTAS_FINANZAS'!J5+'GASTOS_ADM_VTAS_FINANZAS'!J7+'GASTOS_ADM_VTAS_FINANZAS'!J6*$B$8-'GASTOS_ADM_VTAS_FINANZAS'!J20))*'ESTADO DE RESULTADOS'!$B$23)+'BALANCE GENERAL PROYECTADO'!L7*$B$8+'DEPRECIACIONES AMORTIZACION'!B108-(('COSTOS'!K27+'COSTOS'!K40+'COSTOS'!K47*$B$8)*'COSTOS'!$B$127*(1-'COSTOS'!$B$128)+MAX(0,('INGRESOS'!K19*$B$8-('COSTOS'!K27+'COSTOS'!K40+'COSTOS'!K47*$B$8)-'PLANILLA'!K6-'COSTOS'!K73-'GASTOS_ADM_VTAS_FINANZAS'!K15-'GASTOS_ADM_VTAS_FINANZAS'!K5+'GASTOS_ADM_VTAS_FINANZAS'!K7+'GASTOS_ADM_VTAS_FINANZAS'!K6*$B$8-'GASTOS_ADM_VTAS_FINANZAS'!K20))*'ESTADO DE RESULTADOS'!$B$23)</f>
        <v>821968.54</v>
      </c>
    </row>
    <row r="51" spans="1:12" ht="18" customHeight="1">
      <c r="A51" s="5" t="s">
        <v>663</v>
      </c>
      <c r="B51" s="9">
        <f>B50/((1+'COSTO CAPITAL VAN TIR IR'!E11)^0)</f>
        <v>-300000.0</v>
      </c>
      <c r="C51" s="9">
        <f>C50/((1+'COSTO CAPITAL VAN TIR IR'!E11)^1)</f>
        <v>-4377.8</v>
      </c>
      <c r="D51" s="9">
        <f>D50/((1+'COSTO CAPITAL VAN TIR IR'!E11)^2)</f>
        <v>50858.28</v>
      </c>
      <c r="E51" s="9">
        <f>E50/((1+'COSTO CAPITAL VAN TIR IR'!E11)^3)</f>
        <v>81923.81</v>
      </c>
      <c r="F51" s="9">
        <f>F50/((1+'COSTO CAPITAL VAN TIR IR'!E11)^4)</f>
        <v>105372.55</v>
      </c>
      <c r="G51" s="9">
        <f>G50/((1+'COSTO CAPITAL VAN TIR IR'!E11)^5)</f>
        <v>88887.35</v>
      </c>
      <c r="H51" s="9">
        <f>H50/((1+'COSTO CAPITAL VAN TIR IR'!E11)^6)</f>
        <v>170850.87</v>
      </c>
      <c r="I51" s="9">
        <f>I50/((1+'COSTO CAPITAL VAN TIR IR'!E11)^7)</f>
        <v>152247.17</v>
      </c>
      <c r="J51" s="9">
        <f>J50/((1+'COSTO CAPITAL VAN TIR IR'!E11)^8)</f>
        <v>125976.87</v>
      </c>
      <c r="K51" s="9">
        <f>K50/((1+'COSTO CAPITAL VAN TIR IR'!E11)^9)</f>
        <v>186465.75</v>
      </c>
      <c r="L51" s="9">
        <f>L50/((1+'COSTO CAPITAL VAN TIR IR'!E11)^10)</f>
        <v>151040.68</v>
      </c>
    </row>
    <row r="53" spans="1:12" ht="18" customHeight="1">
      <c r="A53" s="8" t="s">
        <v>688</v>
      </c>
      <c r="B53" s="8">
        <f>SUM(B51:L51)</f>
        <v>809245.5240973067</v>
      </c>
    </row>
    <row r="54" spans="1:12" ht="18" customHeight="1">
      <c r="A54" s="8" t="s">
        <v>689</v>
      </c>
      <c r="B54" s="22">
        <f>IRR(B50:L50)</f>
        <v>0.46465555110535617</v>
      </c>
    </row>
    <row r="55" spans="1:12" ht="18" customHeight="1">
      <c r="A55" s="8" t="s">
        <v>678</v>
      </c>
      <c r="B55" s="7">
        <f>(B53+ABS(B50))/ABS(B50)</f>
        <v>3.6974850803243555</v>
      </c>
    </row>
    <row r="56" spans="1:12" ht="18" customHeight="1">
      <c r="A56" s="3" t="s">
        <v>680</v>
      </c>
      <c r="B56" s="12" t="str">
        <f>IF(AND(B53&gt;0,B54&gt;'COSTO CAPITAL VAN TIR IR'!E11,B55&gt;1),"VIABLE","NO VIABLE")</f>
        <v>VIABLE</v>
      </c>
    </row>
    <row r="58" spans="1:12" ht="20" customHeight="1">
      <c r="A58" s="3" t="s">
        <v>731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</row>
    <row r="59" spans="1:12" ht="18" customHeight="1">
      <c r="A59" s="4" t="s">
        <v>3</v>
      </c>
      <c r="B59" s="4" t="s">
        <v>551</v>
      </c>
      <c r="C59" s="4" t="s">
        <v>4</v>
      </c>
      <c r="D59" s="4" t="s">
        <v>5</v>
      </c>
      <c r="E59" s="4" t="s">
        <v>6</v>
      </c>
      <c r="F59" s="4" t="s">
        <v>7</v>
      </c>
      <c r="G59" s="4" t="s">
        <v>8</v>
      </c>
      <c r="H59" s="4" t="s">
        <v>9</v>
      </c>
      <c r="I59" s="4" t="s">
        <v>10</v>
      </c>
      <c r="J59" s="4" t="s">
        <v>11</v>
      </c>
      <c r="K59" s="4" t="s">
        <v>12</v>
      </c>
      <c r="L59" s="4" t="s">
        <v>13</v>
      </c>
    </row>
    <row r="60" spans="1:12" ht="18" customHeight="1">
      <c r="A60" s="5" t="s">
        <v>687</v>
      </c>
      <c r="B60" s="9">
        <f>-'PLAN DE INVERSION'!C27</f>
        <v>-300000.0</v>
      </c>
      <c r="C60" s="9">
        <f>'PRESUPUESTO CAJA'!C11*$B$9-(('COSTOS'!B27+'COSTOS'!B40+'COSTOS'!B47*$B$9)*'COSTOS'!$B$126+('COSTOS'!B27+'COSTOS'!B40+'COSTOS'!B47*$B$9)*'COSTOS'!$B$127*'COSTOS'!$B$128+0*'COSTOS'!$B$127*(1-'COSTOS'!$B$128)+'PLANILLA'!B6+SUM('COSTOS'!B67:B71)+'GASTOS_ADM_VTAS_FINANZAS'!B12+'GASTOS_ADM_VTAS_FINANZAS'!B13+'GASTOS_ADM_VTAS_FINANZAS'!B5+'GASTOS_ADM_VTAS_FINANZAS'!B7+'GASTOS_ADM_VTAS_FINANZAS'!B6*$B$9+'GASTOS_ADM_VTAS_FINANZAS'!B20+'GASTOS_ADM_VTAS_FINANZAS'!B21+0)</f>
        <v>17186.33</v>
      </c>
      <c r="D60" s="9">
        <f>'PRESUPUESTO CAJA'!D11*$B$9-(('COSTOS'!C27+'COSTOS'!C40+'COSTOS'!C47*$B$9)*'COSTOS'!$B$126+('COSTOS'!C27+'COSTOS'!C40+'COSTOS'!C47*$B$9)*'COSTOS'!$B$127*'COSTOS'!$B$128+('COSTOS'!B27+'COSTOS'!B40+'COSTOS'!B47*$B$9)*'COSTOS'!$B$127*(1-'COSTOS'!$B$128)+'PLANILLA'!C6+SUM('COSTOS'!C67:C71)+'GASTOS_ADM_VTAS_FINANZAS'!C12+'GASTOS_ADM_VTAS_FINANZAS'!C13+'GASTOS_ADM_VTAS_FINANZAS'!C5+'GASTOS_ADM_VTAS_FINANZAS'!C7+'GASTOS_ADM_VTAS_FINANZAS'!C6*$B$9+'GASTOS_ADM_VTAS_FINANZAS'!C20+'GASTOS_ADM_VTAS_FINANZAS'!C21+MAX(0,('INGRESOS'!B19*$B$9-('COSTOS'!B27+'COSTOS'!B40+'COSTOS'!B47*$B$9)-'PLANILLA'!B6-'COSTOS'!B73-'GASTOS_ADM_VTAS_FINANZAS'!B15-'GASTOS_ADM_VTAS_FINANZAS'!B5+'GASTOS_ADM_VTAS_FINANZAS'!B7+'GASTOS_ADM_VTAS_FINANZAS'!B6*$B$9-'GASTOS_ADM_VTAS_FINANZAS'!B20))*'ESTADO DE RESULTADOS'!$B$23)</f>
        <v>98826.48</v>
      </c>
      <c r="E60" s="9">
        <f>'PRESUPUESTO CAJA'!E11*$B$9-(('COSTOS'!D27+'COSTOS'!D40+'COSTOS'!D47*$B$9)*'COSTOS'!$B$126+('COSTOS'!D27+'COSTOS'!D40+'COSTOS'!D47*$B$9)*'COSTOS'!$B$127*'COSTOS'!$B$128+('COSTOS'!C27+'COSTOS'!C40+'COSTOS'!C47*$B$9)*'COSTOS'!$B$127*(1-'COSTOS'!$B$128)+'PLANILLA'!D6+SUM('COSTOS'!D67:D71)+'GASTOS_ADM_VTAS_FINANZAS'!D12+'GASTOS_ADM_VTAS_FINANZAS'!D13+'GASTOS_ADM_VTAS_FINANZAS'!D5+'GASTOS_ADM_VTAS_FINANZAS'!D7+'GASTOS_ADM_VTAS_FINANZAS'!D6*$B$9+'GASTOS_ADM_VTAS_FINANZAS'!D20+'GASTOS_ADM_VTAS_FINANZAS'!D21+MAX(0,('INGRESOS'!C19*$B$9-('COSTOS'!C27+'COSTOS'!C40+'COSTOS'!C47*$B$9)-'PLANILLA'!C6-'COSTOS'!C73-'GASTOS_ADM_VTAS_FINANZAS'!C15-'GASTOS_ADM_VTAS_FINANZAS'!C5+'GASTOS_ADM_VTAS_FINANZAS'!C7+'GASTOS_ADM_VTAS_FINANZAS'!C6*$B$9-'GASTOS_ADM_VTAS_FINANZAS'!C20))*'ESTADO DE RESULTADOS'!$B$23)</f>
        <v>166219.89</v>
      </c>
      <c r="F60" s="9">
        <f>'PRESUPUESTO CAJA'!F11*$B$9-(('COSTOS'!E27+'COSTOS'!E40+'COSTOS'!E47*$B$9)*'COSTOS'!$B$126+('COSTOS'!E27+'COSTOS'!E40+'COSTOS'!E47*$B$9)*'COSTOS'!$B$127*'COSTOS'!$B$128+('COSTOS'!D27+'COSTOS'!D40+'COSTOS'!D47*$B$9)*'COSTOS'!$B$127*(1-'COSTOS'!$B$128)+'PLANILLA'!E6+SUM('COSTOS'!E67:E71)+'GASTOS_ADM_VTAS_FINANZAS'!E12+'GASTOS_ADM_VTAS_FINANZAS'!E13+'GASTOS_ADM_VTAS_FINANZAS'!E5+'GASTOS_ADM_VTAS_FINANZAS'!E7+'GASTOS_ADM_VTAS_FINANZAS'!E6*$B$9+'GASTOS_ADM_VTAS_FINANZAS'!E20+'GASTOS_ADM_VTAS_FINANZAS'!E21+MAX(0,('INGRESOS'!D19*$B$9-('COSTOS'!D27+'COSTOS'!D40+'COSTOS'!D47*$B$9)-'PLANILLA'!D6-'COSTOS'!D73-'GASTOS_ADM_VTAS_FINANZAS'!D15-'GASTOS_ADM_VTAS_FINANZAS'!D5+'GASTOS_ADM_VTAS_FINANZAS'!D7+'GASTOS_ADM_VTAS_FINANZAS'!D6*$B$9-'GASTOS_ADM_VTAS_FINANZAS'!D20))*'ESTADO DE RESULTADOS'!$B$23)</f>
        <v>243386.87</v>
      </c>
      <c r="G60" s="9">
        <f>'PRESUPUESTO CAJA'!G11*$B$9-(('COSTOS'!F27+'COSTOS'!F40+'COSTOS'!F47*$B$9)*'COSTOS'!$B$126+('COSTOS'!F27+'COSTOS'!F40+'COSTOS'!F47*$B$9)*'COSTOS'!$B$127*'COSTOS'!$B$128+('COSTOS'!E27+'COSTOS'!E40+'COSTOS'!E47*$B$9)*'COSTOS'!$B$127*(1-'COSTOS'!$B$128)+'PLANILLA'!F6+SUM('COSTOS'!F67:F71)+'GASTOS_ADM_VTAS_FINANZAS'!F12+'GASTOS_ADM_VTAS_FINANZAS'!F13+'GASTOS_ADM_VTAS_FINANZAS'!F5+'GASTOS_ADM_VTAS_FINANZAS'!F7+'GASTOS_ADM_VTAS_FINANZAS'!F6*$B$9+'GASTOS_ADM_VTAS_FINANZAS'!F20+'GASTOS_ADM_VTAS_FINANZAS'!F21+MAX(0,('INGRESOS'!E19*$B$9-('COSTOS'!E27+'COSTOS'!E40+'COSTOS'!E47*$B$9)-'PLANILLA'!E6-'COSTOS'!E73-'GASTOS_ADM_VTAS_FINANZAS'!E15-'GASTOS_ADM_VTAS_FINANZAS'!E5+'GASTOS_ADM_VTAS_FINANZAS'!E7+'GASTOS_ADM_VTAS_FINANZAS'!E6*$B$9-'GASTOS_ADM_VTAS_FINANZAS'!E20))*'ESTADO DE RESULTADOS'!$B$23)</f>
        <v>243458.23</v>
      </c>
      <c r="H60" s="9">
        <f>'PRESUPUESTO CAJA'!H11*$B$9-(('COSTOS'!G27+'COSTOS'!G40+'COSTOS'!G47*$B$9)*'COSTOS'!$B$126+('COSTOS'!G27+'COSTOS'!G40+'COSTOS'!G47*$B$9)*'COSTOS'!$B$127*'COSTOS'!$B$128+('COSTOS'!F27+'COSTOS'!F40+'COSTOS'!F47*$B$9)*'COSTOS'!$B$127*(1-'COSTOS'!$B$128)+'PLANILLA'!G6+SUM('COSTOS'!G67:G71)+'GASTOS_ADM_VTAS_FINANZAS'!G12+'GASTOS_ADM_VTAS_FINANZAS'!G13+'GASTOS_ADM_VTAS_FINANZAS'!G5+'GASTOS_ADM_VTAS_FINANZAS'!G7+'GASTOS_ADM_VTAS_FINANZAS'!G6*$B$9+'GASTOS_ADM_VTAS_FINANZAS'!G20+'GASTOS_ADM_VTAS_FINANZAS'!G21+MAX(0,('INGRESOS'!F19*$B$9-('COSTOS'!F27+'COSTOS'!F40+'COSTOS'!F47*$B$9)-'PLANILLA'!F6-'COSTOS'!F73-'GASTOS_ADM_VTAS_FINANZAS'!F15-'GASTOS_ADM_VTAS_FINANZAS'!F5+'GASTOS_ADM_VTAS_FINANZAS'!F7+'GASTOS_ADM_VTAS_FINANZAS'!F6*$B$9-'GASTOS_ADM_VTAS_FINANZAS'!F20))*'ESTADO DE RESULTADOS'!$B$23)</f>
        <v>530489.03</v>
      </c>
      <c r="I60" s="9">
        <f>'PRESUPUESTO CAJA'!I11*$B$9-(('COSTOS'!H27+'COSTOS'!H40+'COSTOS'!H47*$B$9)*'COSTOS'!$B$126+('COSTOS'!H27+'COSTOS'!H40+'COSTOS'!H47*$B$9)*'COSTOS'!$B$127*'COSTOS'!$B$128+('COSTOS'!G27+'COSTOS'!G40+'COSTOS'!G47*$B$9)*'COSTOS'!$B$127*(1-'COSTOS'!$B$128)+'PLANILLA'!H6+SUM('COSTOS'!H67:H71)+'GASTOS_ADM_VTAS_FINANZAS'!H12+'GASTOS_ADM_VTAS_FINANZAS'!H13+'GASTOS_ADM_VTAS_FINANZAS'!H5+'GASTOS_ADM_VTAS_FINANZAS'!H7+'GASTOS_ADM_VTAS_FINANZAS'!H6*$B$9+'GASTOS_ADM_VTAS_FINANZAS'!H20+'GASTOS_ADM_VTAS_FINANZAS'!H21+MAX(0,('INGRESOS'!G19*$B$9-('COSTOS'!G27+'COSTOS'!G40+'COSTOS'!G47*$B$9)-'PLANILLA'!G6-'COSTOS'!G73-'GASTOS_ADM_VTAS_FINANZAS'!G15-'GASTOS_ADM_VTAS_FINANZAS'!G5+'GASTOS_ADM_VTAS_FINANZAS'!G7+'GASTOS_ADM_VTAS_FINANZAS'!G6*$B$9-'GASTOS_ADM_VTAS_FINANZAS'!G20))*'ESTADO DE RESULTADOS'!$B$23)</f>
        <v>557696.34</v>
      </c>
      <c r="J60" s="9">
        <f>'PRESUPUESTO CAJA'!J11*$B$9-(('COSTOS'!I27+'COSTOS'!I40+'COSTOS'!I47*$B$9)*'COSTOS'!$B$126+('COSTOS'!I27+'COSTOS'!I40+'COSTOS'!I47*$B$9)*'COSTOS'!$B$127*'COSTOS'!$B$128+('COSTOS'!H27+'COSTOS'!H40+'COSTOS'!H47*$B$9)*'COSTOS'!$B$127*(1-'COSTOS'!$B$128)+'PLANILLA'!I6+SUM('COSTOS'!I67:I71)+'GASTOS_ADM_VTAS_FINANZAS'!I12+'GASTOS_ADM_VTAS_FINANZAS'!I13+'GASTOS_ADM_VTAS_FINANZAS'!I5+'GASTOS_ADM_VTAS_FINANZAS'!I7+'GASTOS_ADM_VTAS_FINANZAS'!I6*$B$9+'GASTOS_ADM_VTAS_FINANZAS'!I20+'GASTOS_ADM_VTAS_FINANZAS'!I21+MAX(0,('INGRESOS'!H19*$B$9-('COSTOS'!H27+'COSTOS'!H40+'COSTOS'!H47*$B$9)-'PLANILLA'!H6-'COSTOS'!H73-'GASTOS_ADM_VTAS_FINANZAS'!H15-'GASTOS_ADM_VTAS_FINANZAS'!H5+'GASTOS_ADM_VTAS_FINANZAS'!H7+'GASTOS_ADM_VTAS_FINANZAS'!H6*$B$9-'GASTOS_ADM_VTAS_FINANZAS'!H20))*'ESTADO DE RESULTADOS'!$B$23)</f>
        <v>550973.58</v>
      </c>
      <c r="K60" s="9">
        <f>'PRESUPUESTO CAJA'!K11*$B$9-(('COSTOS'!J27+'COSTOS'!J40+'COSTOS'!J47*$B$9)*'COSTOS'!$B$126+('COSTOS'!J27+'COSTOS'!J40+'COSTOS'!J47*$B$9)*'COSTOS'!$B$127*'COSTOS'!$B$128+('COSTOS'!I27+'COSTOS'!I40+'COSTOS'!I47*$B$9)*'COSTOS'!$B$127*(1-'COSTOS'!$B$128)+'PLANILLA'!J6+SUM('COSTOS'!J67:J71)+'GASTOS_ADM_VTAS_FINANZAS'!J12+'GASTOS_ADM_VTAS_FINANZAS'!J13+'GASTOS_ADM_VTAS_FINANZAS'!J5+'GASTOS_ADM_VTAS_FINANZAS'!J7+'GASTOS_ADM_VTAS_FINANZAS'!J6*$B$9+'GASTOS_ADM_VTAS_FINANZAS'!J20+'GASTOS_ADM_VTAS_FINANZAS'!J21+MAX(0,('INGRESOS'!I19*$B$9-('COSTOS'!I27+'COSTOS'!I40+'COSTOS'!I47*$B$9)-'PLANILLA'!I6-'COSTOS'!I73-'GASTOS_ADM_VTAS_FINANZAS'!I15-'GASTOS_ADM_VTAS_FINANZAS'!I5+'GASTOS_ADM_VTAS_FINANZAS'!I7+'GASTOS_ADM_VTAS_FINANZAS'!I6*$B$9-'GASTOS_ADM_VTAS_FINANZAS'!I20))*'ESTADO DE RESULTADOS'!$B$23)</f>
        <v>942731.89</v>
      </c>
      <c r="L60" s="9">
        <f>'PRESUPUESTO CAJA'!L11*$B$9-(('COSTOS'!K27+'COSTOS'!K40+'COSTOS'!K47*$B$9)*'COSTOS'!$B$126+('COSTOS'!K27+'COSTOS'!K40+'COSTOS'!K47*$B$9)*'COSTOS'!$B$127*'COSTOS'!$B$128+('COSTOS'!J27+'COSTOS'!J40+'COSTOS'!J47*$B$9)*'COSTOS'!$B$127*(1-'COSTOS'!$B$128)+'PLANILLA'!K6+SUM('COSTOS'!K67:K71)+'GASTOS_ADM_VTAS_FINANZAS'!K12+'GASTOS_ADM_VTAS_FINANZAS'!K13+'GASTOS_ADM_VTAS_FINANZAS'!K5+'GASTOS_ADM_VTAS_FINANZAS'!K7+'GASTOS_ADM_VTAS_FINANZAS'!K6*$B$9+'GASTOS_ADM_VTAS_FINANZAS'!K20+'GASTOS_ADM_VTAS_FINANZAS'!K21+MAX(0,('INGRESOS'!J19*$B$9-('COSTOS'!J27+'COSTOS'!J40+'COSTOS'!J47*$B$9)-'PLANILLA'!J6-'COSTOS'!J73-'GASTOS_ADM_VTAS_FINANZAS'!J15-'GASTOS_ADM_VTAS_FINANZAS'!J5+'GASTOS_ADM_VTAS_FINANZAS'!J7+'GASTOS_ADM_VTAS_FINANZAS'!J6*$B$9-'GASTOS_ADM_VTAS_FINANZAS'!J20))*'ESTADO DE RESULTADOS'!$B$23)+'BALANCE GENERAL PROYECTADO'!L7*$B$9+'DEPRECIACIONES AMORTIZACION'!B108-(('COSTOS'!K27+'COSTOS'!K40+'COSTOS'!K47*$B$9)*'COSTOS'!$B$127*(1-'COSTOS'!$B$128)+MAX(0,('INGRESOS'!K19*$B$9-('COSTOS'!K27+'COSTOS'!K40+'COSTOS'!K47*$B$9)-'PLANILLA'!K6-'COSTOS'!K73-'GASTOS_ADM_VTAS_FINANZAS'!K15-'GASTOS_ADM_VTAS_FINANZAS'!K5+'GASTOS_ADM_VTAS_FINANZAS'!K7+'GASTOS_ADM_VTAS_FINANZAS'!K6*$B$9-'GASTOS_ADM_VTAS_FINANZAS'!K20))*'ESTADO DE RESULTADOS'!$B$23)</f>
        <v>889498.4</v>
      </c>
    </row>
    <row r="61" spans="1:12" ht="18" customHeight="1">
      <c r="A61" s="5" t="s">
        <v>663</v>
      </c>
      <c r="B61" s="9">
        <f>B60/((1+'COSTO CAPITAL VAN TIR IR'!E11)^0)</f>
        <v>-300000.0</v>
      </c>
      <c r="C61" s="9">
        <f>C60/((1+'COSTO CAPITAL VAN TIR IR'!E11)^1)</f>
        <v>14507.98</v>
      </c>
      <c r="D61" s="9">
        <f>D60/((1+'COSTO CAPITAL VAN TIR IR'!E11)^2)</f>
        <v>70424.06</v>
      </c>
      <c r="E61" s="9">
        <f>E60/((1+'COSTO CAPITAL VAN TIR IR'!E11)^3)</f>
        <v>99989.55</v>
      </c>
      <c r="F61" s="9">
        <f>F60/((1+'COSTO CAPITAL VAN TIR IR'!E11)^4)</f>
        <v>123592.65</v>
      </c>
      <c r="G61" s="9">
        <f>G60/((1+'COSTO CAPITAL VAN TIR IR'!E11)^5)</f>
        <v>104362.34</v>
      </c>
      <c r="H61" s="9">
        <f>H60/((1+'COSTO CAPITAL VAN TIR IR'!E11)^6)</f>
        <v>191963.93</v>
      </c>
      <c r="I61" s="9">
        <f>I60/((1+'COSTO CAPITAL VAN TIR IR'!E11)^7)</f>
        <v>170358.93</v>
      </c>
      <c r="J61" s="9">
        <f>J60/((1+'COSTO CAPITAL VAN TIR IR'!E11)^8)</f>
        <v>142076.34</v>
      </c>
      <c r="K61" s="9">
        <f>K60/((1+'COSTO CAPITAL VAN TIR IR'!E11)^9)</f>
        <v>205212.14</v>
      </c>
      <c r="L61" s="9">
        <f>L60/((1+'COSTO CAPITAL VAN TIR IR'!E11)^10)</f>
        <v>163449.61</v>
      </c>
    </row>
    <row r="63" spans="1:12" ht="18" customHeight="1">
      <c r="A63" s="8" t="s">
        <v>688</v>
      </c>
      <c r="B63" s="8">
        <f>SUM(B61:L61)</f>
        <v>985937.530920578</v>
      </c>
    </row>
    <row r="64" spans="1:12" ht="18" customHeight="1">
      <c r="A64" s="8" t="s">
        <v>689</v>
      </c>
      <c r="B64" s="22">
        <f>IRR(B60:L60)</f>
        <v>0.5244312731058371</v>
      </c>
    </row>
    <row r="65" spans="1:12" ht="18" customHeight="1">
      <c r="A65" s="8" t="s">
        <v>678</v>
      </c>
      <c r="B65" s="7">
        <f>(B63+ABS(B60))/ABS(B60)</f>
        <v>4.286458436401928</v>
      </c>
    </row>
    <row r="66" spans="1:12" ht="18" customHeight="1">
      <c r="A66" s="3" t="s">
        <v>680</v>
      </c>
      <c r="B66" s="12" t="str">
        <f>IF(AND(B63&gt;0,B64&gt;'COSTO CAPITAL VAN TIR IR'!E11,B65&gt;1),"VIABLE","NO VIABLE")</f>
        <v>VIABLE</v>
      </c>
    </row>
    <row r="68" spans="1:12" ht="18" customHeight="1">
      <c r="A68" s="13" t="s">
        <v>733</v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</row>
    <row r="69" spans="1:12" ht="18" customHeight="1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</row>
  </sheetData>
  <mergeCells count="8">
    <mergeCell ref="A1:L1"/>
    <mergeCell ref="A2:L2"/>
    <mergeCell ref="A18:L18"/>
    <mergeCell ref="A28:L28"/>
    <mergeCell ref="A38:L38"/>
    <mergeCell ref="A48:L48"/>
    <mergeCell ref="A58:L58"/>
    <mergeCell ref="A68:L69"/>
  </mergeCells>
  <pageMargins left="0.25" right="0.25" top="0.35" bottom="0.35" header="0.3" footer="0.3"/>
  <pageSetup paperSize="9" fitToHeight="0" orientation="landscape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9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2.7109375" customWidth="1"/>
    <col min="2" max="12" width="13.7109375" customWidth="1"/>
  </cols>
  <sheetData>
    <row r="1" spans="1:12" ht="22" customHeight="1">
      <c r="A1" s="1" t="s">
        <v>494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734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8" customHeight="1">
      <c r="A3" s="4" t="s">
        <v>3</v>
      </c>
      <c r="B3" s="4" t="s">
        <v>551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</row>
    <row r="4" spans="1:12" ht="18" customHeight="1">
      <c r="A4" s="3" t="s">
        <v>552</v>
      </c>
    </row>
    <row r="5" spans="1:12" ht="18" customHeight="1">
      <c r="A5" s="5" t="s">
        <v>553</v>
      </c>
      <c r="B5" s="9">
        <f>'PLAN DE INVERSION'!D27</f>
        <v>120000.0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554</v>
      </c>
      <c r="B6" s="9">
        <f>'PLAN DE INVERSION'!F27</f>
        <v>180000.0</v>
      </c>
      <c r="C6" s="9">
        <f>0.0</f>
        <v>0.0</v>
      </c>
      <c r="D6" s="9">
        <f>0.0</f>
        <v>0.0</v>
      </c>
      <c r="E6" s="9">
        <f>0.0</f>
        <v>0.0</v>
      </c>
      <c r="F6" s="9">
        <f>0.0</f>
        <v>0.0</v>
      </c>
      <c r="G6" s="9">
        <f>0.0</f>
        <v>0.0</v>
      </c>
      <c r="H6" s="9">
        <f>0.0</f>
        <v>0.0</v>
      </c>
      <c r="I6" s="9">
        <f>0.0</f>
        <v>0.0</v>
      </c>
      <c r="J6" s="9">
        <f>0.0</f>
        <v>0.0</v>
      </c>
      <c r="K6" s="9">
        <f>0.0</f>
        <v>0.0</v>
      </c>
      <c r="L6" s="9">
        <f>0.0</f>
        <v>0.0</v>
      </c>
    </row>
    <row r="7" spans="1:12" ht="18" customHeight="1">
      <c r="A7" s="5" t="s">
        <v>555</v>
      </c>
      <c r="B7" s="9">
        <f>0.0</f>
        <v>0.0</v>
      </c>
      <c r="C7" s="9">
        <f>'PRESUPUESTO CAJA'!C7*(1+$B$36)</f>
        <v>195091.2</v>
      </c>
      <c r="D7" s="9">
        <f>'PRESUPUESTO CAJA'!D7*(1+$B$36)</f>
        <v>247219.78</v>
      </c>
      <c r="E7" s="9">
        <f>'PRESUPUESTO CAJA'!E7*(1+$B$36)</f>
        <v>307140.23</v>
      </c>
      <c r="F7" s="9">
        <f>'PRESUPUESTO CAJA'!F7*(1+$B$36)</f>
        <v>368280.82</v>
      </c>
      <c r="G7" s="9">
        <f>'PRESUPUESTO CAJA'!G7*(1+$B$36)</f>
        <v>380486.45</v>
      </c>
      <c r="H7" s="9">
        <f>'PRESUPUESTO CAJA'!H7*(1+$B$36)</f>
        <v>575512.47</v>
      </c>
      <c r="I7" s="9">
        <f>'PRESUPUESTO CAJA'!I7*(1+$B$36)</f>
        <v>619143.16</v>
      </c>
      <c r="J7" s="9">
        <f>'PRESUPUESTO CAJA'!J7*(1+$B$36)</f>
        <v>652824.55</v>
      </c>
      <c r="K7" s="9">
        <f>'PRESUPUESTO CAJA'!K7*(1+$B$36)</f>
        <v>863930.43</v>
      </c>
      <c r="L7" s="9">
        <f>'PRESUPUESTO CAJA'!L7*(1+$B$36)</f>
        <v>925203.61</v>
      </c>
    </row>
    <row r="8" spans="1:12" ht="18" customHeight="1">
      <c r="A8" s="5" t="s">
        <v>540</v>
      </c>
      <c r="B8" s="9">
        <f>0.0</f>
        <v>0.0</v>
      </c>
      <c r="C8" s="9">
        <f>0.0</f>
        <v>0.0</v>
      </c>
      <c r="D8" s="9">
        <f>0.0</f>
        <v>0.0</v>
      </c>
      <c r="E8" s="9">
        <f>0.0</f>
        <v>0.0</v>
      </c>
      <c r="F8" s="9">
        <f>0.0</f>
        <v>0.0</v>
      </c>
      <c r="G8" s="9">
        <f>0.0</f>
        <v>0.0</v>
      </c>
      <c r="H8" s="9">
        <f>0.0</f>
        <v>0.0</v>
      </c>
      <c r="I8" s="9">
        <f>0.0</f>
        <v>0.0</v>
      </c>
      <c r="J8" s="9">
        <f>0.0</f>
        <v>0.0</v>
      </c>
      <c r="K8" s="9">
        <f>0.0</f>
        <v>0.0</v>
      </c>
      <c r="L8" s="9">
        <f>0.0</f>
        <v>0.0</v>
      </c>
    </row>
    <row r="9" spans="1:12" ht="18" customHeight="1">
      <c r="A9" s="5" t="s">
        <v>556</v>
      </c>
      <c r="B9" s="9">
        <f>0.0</f>
        <v>0.0</v>
      </c>
      <c r="C9" s="9">
        <f>'PRESUPUESTO CAJA'!C9*(1+$B$36)</f>
        <v>234109.44</v>
      </c>
      <c r="D9" s="9">
        <f>'PRESUPUESTO CAJA'!D9*(1+$B$36)</f>
        <v>296663.73</v>
      </c>
      <c r="E9" s="9">
        <f>'PRESUPUESTO CAJA'!E9*(1+$B$36)</f>
        <v>368568.27</v>
      </c>
      <c r="F9" s="9">
        <f>'PRESUPUESTO CAJA'!F9*(1+$B$36)</f>
        <v>441936.98</v>
      </c>
      <c r="G9" s="9">
        <f>'PRESUPUESTO CAJA'!G9*(1+$B$36)</f>
        <v>456583.74</v>
      </c>
      <c r="H9" s="9">
        <f>'PRESUPUESTO CAJA'!H9*(1+$B$36)</f>
        <v>690614.96</v>
      </c>
      <c r="I9" s="9">
        <f>'PRESUPUESTO CAJA'!I9*(1+$B$36)</f>
        <v>742971.79</v>
      </c>
      <c r="J9" s="9">
        <f>'PRESUPUESTO CAJA'!J9*(1+$B$36)</f>
        <v>783389.46</v>
      </c>
      <c r="K9" s="9">
        <f>'PRESUPUESTO CAJA'!K9*(1+$B$36)</f>
        <v>1036716.52</v>
      </c>
      <c r="L9" s="9">
        <f>'PRESUPUESTO CAJA'!L9*(1+$B$36)</f>
        <v>1110244.33</v>
      </c>
    </row>
    <row r="10" spans="1:12" ht="18" customHeight="1">
      <c r="A10" s="5" t="s">
        <v>557</v>
      </c>
      <c r="B10" s="9">
        <f>0.0</f>
        <v>0.0</v>
      </c>
      <c r="C10" s="9">
        <f>'PRESUPUESTO CAJA'!C10*(1+$B$36)</f>
        <v>0.0</v>
      </c>
      <c r="D10" s="9">
        <f>'PRESUPUESTO CAJA'!D10*(1+$B$36)</f>
        <v>58527.36</v>
      </c>
      <c r="E10" s="9">
        <f>'PRESUPUESTO CAJA'!E10*(1+$B$36)</f>
        <v>74165.93</v>
      </c>
      <c r="F10" s="9">
        <f>'PRESUPUESTO CAJA'!F10*(1+$B$36)</f>
        <v>92142.07</v>
      </c>
      <c r="G10" s="9">
        <f>'PRESUPUESTO CAJA'!G10*(1+$B$36)</f>
        <v>110484.25</v>
      </c>
      <c r="H10" s="9">
        <f>'PRESUPUESTO CAJA'!H10*(1+$B$36)</f>
        <v>114145.93</v>
      </c>
      <c r="I10" s="9">
        <f>'PRESUPUESTO CAJA'!I10*(1+$B$36)</f>
        <v>172653.74</v>
      </c>
      <c r="J10" s="9">
        <f>'PRESUPUESTO CAJA'!J10*(1+$B$36)</f>
        <v>185742.95</v>
      </c>
      <c r="K10" s="9">
        <f>'PRESUPUESTO CAJA'!K10*(1+$B$36)</f>
        <v>195847.36</v>
      </c>
      <c r="L10" s="9">
        <f>'PRESUPUESTO CAJA'!L10*(1+$B$36)</f>
        <v>259179.13</v>
      </c>
    </row>
    <row r="11" spans="1:12" ht="18" customHeight="1">
      <c r="A11" s="8" t="s">
        <v>558</v>
      </c>
      <c r="B11" s="8">
        <f>SUM(B5:B10)</f>
        <v>300000.0</v>
      </c>
      <c r="C11" s="8">
        <f>SUM(C5:C10)</f>
        <v>429200.64</v>
      </c>
      <c r="D11" s="8">
        <f>SUM(D5:D10)</f>
        <v>602410.87</v>
      </c>
      <c r="E11" s="8">
        <f>SUM(E5:E10)</f>
        <v>749874.43</v>
      </c>
      <c r="F11" s="8">
        <f>SUM(F5:F10)</f>
        <v>902359.87</v>
      </c>
      <c r="G11" s="8">
        <f>SUM(G5:G10)</f>
        <v>947554.43</v>
      </c>
      <c r="H11" s="8">
        <f>SUM(H5:H10)</f>
        <v>1380273.37</v>
      </c>
      <c r="I11" s="8">
        <f>SUM(I5:I10)</f>
        <v>1534768.69</v>
      </c>
      <c r="J11" s="8">
        <f>SUM(J5:J10)</f>
        <v>1621956.95</v>
      </c>
      <c r="K11" s="8">
        <f>SUM(K5:K10)</f>
        <v>2096494.31</v>
      </c>
      <c r="L11" s="8">
        <f>SUM(L5:L10)</f>
        <v>2294627.07</v>
      </c>
    </row>
    <row r="13" spans="1:12" ht="18" customHeight="1">
      <c r="A13" s="3" t="s">
        <v>559</v>
      </c>
    </row>
    <row r="14" spans="1:12" ht="18" customHeight="1">
      <c r="A14" s="5" t="s">
        <v>560</v>
      </c>
      <c r="B14" s="9">
        <f>'PLAN DE INVERSION'!C5</f>
        <v>118000.0</v>
      </c>
      <c r="C14" s="9">
        <f>0.0</f>
        <v>0.0</v>
      </c>
      <c r="D14" s="9">
        <f>0.0</f>
        <v>0.0</v>
      </c>
      <c r="E14" s="9">
        <f>0.0</f>
        <v>0.0</v>
      </c>
      <c r="F14" s="9">
        <f>0.0</f>
        <v>0.0</v>
      </c>
      <c r="G14" s="9">
        <f>0.0</f>
        <v>0.0</v>
      </c>
      <c r="H14" s="9">
        <f>0.0</f>
        <v>0.0</v>
      </c>
      <c r="I14" s="9">
        <f>0.0</f>
        <v>0.0</v>
      </c>
      <c r="J14" s="9">
        <f>0.0</f>
        <v>0.0</v>
      </c>
      <c r="K14" s="9">
        <f>0.0</f>
        <v>0.0</v>
      </c>
      <c r="L14" s="9">
        <f>0.0</f>
        <v>0.0</v>
      </c>
    </row>
    <row r="15" spans="1:12" ht="18" customHeight="1">
      <c r="A15" s="5" t="s">
        <v>561</v>
      </c>
      <c r="B15" s="9">
        <f>'PLAN DE INVERSION'!C20</f>
        <v>132000.0</v>
      </c>
      <c r="C15" s="9">
        <f>0.0</f>
        <v>0.0</v>
      </c>
      <c r="D15" s="9">
        <f>0.0</f>
        <v>0.0</v>
      </c>
      <c r="E15" s="9">
        <f>0.0</f>
        <v>0.0</v>
      </c>
      <c r="F15" s="9">
        <f>0.0</f>
        <v>0.0</v>
      </c>
      <c r="G15" s="9">
        <f>0.0</f>
        <v>0.0</v>
      </c>
      <c r="H15" s="9">
        <f>0.0</f>
        <v>0.0</v>
      </c>
      <c r="I15" s="9">
        <f>0.0</f>
        <v>0.0</v>
      </c>
      <c r="J15" s="9">
        <f>0.0</f>
        <v>0.0</v>
      </c>
      <c r="K15" s="9">
        <f>0.0</f>
        <v>0.0</v>
      </c>
      <c r="L15" s="9">
        <f>0.0</f>
        <v>0.0</v>
      </c>
    </row>
    <row r="16" spans="1:12" ht="18" customHeight="1">
      <c r="A16" s="5" t="s">
        <v>562</v>
      </c>
      <c r="B16" s="9">
        <f>0.0</f>
        <v>0.0</v>
      </c>
      <c r="C16" s="9">
        <f>'PLANILLA'!B6</f>
        <v>94042.55</v>
      </c>
      <c r="D16" s="9">
        <f>'PLANILLA'!C6</f>
        <v>143526.84</v>
      </c>
      <c r="E16" s="9">
        <f>'PLANILLA'!D6</f>
        <v>165929.12</v>
      </c>
      <c r="F16" s="9">
        <f>'PLANILLA'!E6</f>
        <v>174225.58</v>
      </c>
      <c r="G16" s="9">
        <f>'PLANILLA'!F6</f>
        <v>182936.86</v>
      </c>
      <c r="H16" s="9">
        <f>'PLANILLA'!G6</f>
        <v>207309.64</v>
      </c>
      <c r="I16" s="9">
        <f>'PLANILLA'!H6</f>
        <v>217675.12</v>
      </c>
      <c r="J16" s="9">
        <f>'PLANILLA'!I6</f>
        <v>273341.04</v>
      </c>
      <c r="K16" s="9">
        <f>'PLANILLA'!J6</f>
        <v>287008.09</v>
      </c>
      <c r="L16" s="9">
        <f>'PLANILLA'!K6</f>
        <v>301358.5</v>
      </c>
    </row>
    <row r="17" spans="1:12" ht="18" customHeight="1">
      <c r="A17" s="5" t="s">
        <v>563</v>
      </c>
      <c r="B17" s="9">
        <f>0.0</f>
        <v>0.0</v>
      </c>
      <c r="C17" s="9">
        <f>SUM('COSTOS'!B67:B71)</f>
        <v>28300.0</v>
      </c>
      <c r="D17" s="9">
        <f>SUM('COSTOS'!C67:C71)</f>
        <v>38432.0</v>
      </c>
      <c r="E17" s="9">
        <f>SUM('COSTOS'!D67:D71)</f>
        <v>39969.28</v>
      </c>
      <c r="F17" s="9">
        <f>SUM('COSTOS'!E67:E71)</f>
        <v>41568.05</v>
      </c>
      <c r="G17" s="9">
        <f>SUM('COSTOS'!F67:F71)</f>
        <v>43230.77</v>
      </c>
      <c r="H17" s="9">
        <f>SUM('COSTOS'!G67:G71)</f>
        <v>44960.0</v>
      </c>
      <c r="I17" s="9">
        <f>SUM('COSTOS'!H67:H71)</f>
        <v>46758.4</v>
      </c>
      <c r="J17" s="9">
        <f>SUM('COSTOS'!I67:I71)</f>
        <v>48628.74</v>
      </c>
      <c r="K17" s="9">
        <f>SUM('COSTOS'!J67:J71)</f>
        <v>50573.89</v>
      </c>
      <c r="L17" s="9">
        <f>SUM('COSTOS'!K67:K71)</f>
        <v>52596.85</v>
      </c>
    </row>
    <row r="18" spans="1:12" ht="18" customHeight="1">
      <c r="A18" s="5" t="s">
        <v>564</v>
      </c>
      <c r="B18" s="9">
        <f>0.0</f>
        <v>0.0</v>
      </c>
      <c r="C18" s="9">
        <f>'COSTOS'!B27+'COSTOS'!B40+'COSTOS'!B47*(1+$B$36)*'COSTOS'!$B$126</f>
        <v>76495.2</v>
      </c>
      <c r="D18" s="9">
        <f>'COSTOS'!C27+'COSTOS'!C40+'COSTOS'!C47*(1+$B$36)*'COSTOS'!$B$126</f>
        <v>89296.06</v>
      </c>
      <c r="E18" s="9">
        <f>'COSTOS'!D27+'COSTOS'!D40+'COSTOS'!D47*(1+$B$36)*'COSTOS'!$B$126</f>
        <v>104801.98</v>
      </c>
      <c r="F18" s="9">
        <f>'COSTOS'!E27+'COSTOS'!E40+'COSTOS'!E47*(1+$B$36)*'COSTOS'!$B$126</f>
        <v>119747.49</v>
      </c>
      <c r="G18" s="9">
        <f>'COSTOS'!F27+'COSTOS'!F40+'COSTOS'!F47*(1+$B$36)*'COSTOS'!$B$126</f>
        <v>115035.42</v>
      </c>
      <c r="H18" s="9">
        <f>'COSTOS'!G27+'COSTOS'!G40+'COSTOS'!G47*(1+$B$36)*'COSTOS'!$B$126</f>
        <v>183106.74</v>
      </c>
      <c r="I18" s="9">
        <f>'COSTOS'!H27+'COSTOS'!H40+'COSTOS'!H47*(1+$B$36)*'COSTOS'!$B$126</f>
        <v>186035.16</v>
      </c>
      <c r="J18" s="9">
        <f>'COSTOS'!I27+'COSTOS'!I40+'COSTOS'!I47*(1+$B$36)*'COSTOS'!$B$126</f>
        <v>186069.98</v>
      </c>
      <c r="K18" s="9">
        <f>'COSTOS'!J27+'COSTOS'!J40+'COSTOS'!J47*(1+$B$36)*'COSTOS'!$B$126</f>
        <v>256799.83</v>
      </c>
      <c r="L18" s="9">
        <f>'COSTOS'!K27+'COSTOS'!K40+'COSTOS'!K47*(1+$B$36)*'COSTOS'!$B$126</f>
        <v>262944.75</v>
      </c>
    </row>
    <row r="19" spans="1:12" ht="18" customHeight="1">
      <c r="A19" s="5" t="s">
        <v>565</v>
      </c>
      <c r="B19" s="9">
        <f>0.0</f>
        <v>0.0</v>
      </c>
      <c r="C19" s="9">
        <f>'COSTOS'!B27+'COSTOS'!B40+'COSTOS'!B47*(1+$B$36)*'COSTOS'!$B$127*'COSTOS'!$B$128</f>
        <v>151715.48</v>
      </c>
      <c r="D19" s="9">
        <f>'COSTOS'!C27+'COSTOS'!C40+'COSTOS'!C47*(1+$B$36)*'COSTOS'!$B$127*'COSTOS'!$B$128</f>
        <v>177103.84</v>
      </c>
      <c r="E19" s="9">
        <f>'COSTOS'!D27+'COSTOS'!D40+'COSTOS'!D47*(1+$B$36)*'COSTOS'!$B$127*'COSTOS'!$B$128</f>
        <v>207857.27</v>
      </c>
      <c r="F19" s="9">
        <f>'COSTOS'!E27+'COSTOS'!E40+'COSTOS'!E47*(1+$B$36)*'COSTOS'!$B$127*'COSTOS'!$B$128</f>
        <v>237499.2</v>
      </c>
      <c r="G19" s="9">
        <f>'COSTOS'!F27+'COSTOS'!F40+'COSTOS'!F47*(1+$B$36)*'COSTOS'!$B$127*'COSTOS'!$B$128</f>
        <v>228153.58</v>
      </c>
      <c r="H19" s="9">
        <f>'COSTOS'!G27+'COSTOS'!G40+'COSTOS'!G47*(1+$B$36)*'COSTOS'!$B$127*'COSTOS'!$B$128</f>
        <v>363161.7</v>
      </c>
      <c r="I19" s="9">
        <f>'COSTOS'!H27+'COSTOS'!H40+'COSTOS'!H47*(1+$B$36)*'COSTOS'!$B$127*'COSTOS'!$B$128</f>
        <v>368969.74</v>
      </c>
      <c r="J19" s="9">
        <f>'COSTOS'!I27+'COSTOS'!I40+'COSTOS'!I47*(1+$B$36)*'COSTOS'!$B$127*'COSTOS'!$B$128</f>
        <v>369038.8</v>
      </c>
      <c r="K19" s="9">
        <f>'COSTOS'!J27+'COSTOS'!J40+'COSTOS'!J47*(1+$B$36)*'COSTOS'!$B$127*'COSTOS'!$B$128</f>
        <v>509319.66</v>
      </c>
      <c r="L19" s="9">
        <f>'COSTOS'!K27+'COSTOS'!K40+'COSTOS'!K47*(1+$B$36)*'COSTOS'!$B$127*'COSTOS'!$B$128</f>
        <v>521507.09</v>
      </c>
    </row>
    <row r="20" spans="1:12" ht="18" customHeight="1">
      <c r="A20" s="5" t="s">
        <v>135</v>
      </c>
      <c r="B20" s="9">
        <f>0.0</f>
        <v>0.0</v>
      </c>
      <c r="C20" s="9">
        <f>0*'COSTOS'!$B$127*(1-'COSTOS'!$B$128)</f>
        <v>0.0</v>
      </c>
      <c r="D20" s="9">
        <f>'COSTOS'!B27+'COSTOS'!B40+'COSTOS'!B47*(1+$B$36)*'COSTOS'!$B$127*(1-'COSTOS'!$B$128)</f>
        <v>26773.32</v>
      </c>
      <c r="E20" s="9">
        <f>'COSTOS'!C27+'COSTOS'!C40+'COSTOS'!C47*(1+$B$36)*'COSTOS'!$B$127*(1-'COSTOS'!$B$128)</f>
        <v>31253.62</v>
      </c>
      <c r="F20" s="9">
        <f>'COSTOS'!D27+'COSTOS'!D40+'COSTOS'!D47*(1+$B$36)*'COSTOS'!$B$127*(1-'COSTOS'!$B$128)</f>
        <v>36680.69</v>
      </c>
      <c r="G20" s="9">
        <f>'COSTOS'!E27+'COSTOS'!E40+'COSTOS'!E47*(1+$B$36)*'COSTOS'!$B$127*(1-'COSTOS'!$B$128)</f>
        <v>41911.62</v>
      </c>
      <c r="H20" s="9">
        <f>'COSTOS'!F27+'COSTOS'!F40+'COSTOS'!F47*(1+$B$36)*'COSTOS'!$B$127*(1-'COSTOS'!$B$128)</f>
        <v>40262.4</v>
      </c>
      <c r="I20" s="9">
        <f>'COSTOS'!G27+'COSTOS'!G40+'COSTOS'!G47*(1+$B$36)*'COSTOS'!$B$127*(1-'COSTOS'!$B$128)</f>
        <v>64087.36</v>
      </c>
      <c r="J20" s="9">
        <f>'COSTOS'!H27+'COSTOS'!H40+'COSTOS'!H47*(1+$B$36)*'COSTOS'!$B$127*(1-'COSTOS'!$B$128)</f>
        <v>65112.31</v>
      </c>
      <c r="K20" s="9">
        <f>'COSTOS'!I27+'COSTOS'!I40+'COSTOS'!I47*(1+$B$36)*'COSTOS'!$B$127*(1-'COSTOS'!$B$128)</f>
        <v>65124.49</v>
      </c>
      <c r="L20" s="9">
        <f>'COSTOS'!J27+'COSTOS'!J40+'COSTOS'!J47*(1+$B$36)*'COSTOS'!$B$127*(1-'COSTOS'!$B$128)</f>
        <v>89879.94</v>
      </c>
    </row>
    <row r="21" spans="1:12" ht="18" customHeight="1">
      <c r="A21" s="5" t="s">
        <v>537</v>
      </c>
      <c r="B21" s="9">
        <f>0.0</f>
        <v>0.0</v>
      </c>
      <c r="C21" s="9">
        <f>'PRESUPUESTO CAJA'!C21</f>
        <v>97503.54</v>
      </c>
      <c r="D21" s="9">
        <f>'PRESUPUESTO CAJA'!D21</f>
        <v>102218.72</v>
      </c>
      <c r="E21" s="9">
        <f>'PRESUPUESTO CAJA'!E21</f>
        <v>107163.26</v>
      </c>
      <c r="F21" s="9">
        <f>'PRESUPUESTO CAJA'!F21</f>
        <v>112348.36</v>
      </c>
      <c r="G21" s="9">
        <f>'PRESUPUESTO CAJA'!G21</f>
        <v>133011.74</v>
      </c>
      <c r="H21" s="9">
        <f>'PRESUPUESTO CAJA'!H21</f>
        <v>139475.15</v>
      </c>
      <c r="I21" s="9">
        <f>'PRESUPUESTO CAJA'!I21</f>
        <v>146254.24</v>
      </c>
      <c r="J21" s="9">
        <f>'PRESUPUESTO CAJA'!J21</f>
        <v>153364.5</v>
      </c>
      <c r="K21" s="9">
        <f>'PRESUPUESTO CAJA'!K21</f>
        <v>160822.18</v>
      </c>
      <c r="L21" s="9">
        <f>'PRESUPUESTO CAJA'!L21</f>
        <v>168644.32</v>
      </c>
    </row>
    <row r="22" spans="1:12" ht="18" customHeight="1">
      <c r="A22" s="5" t="s">
        <v>536</v>
      </c>
      <c r="B22" s="9">
        <f>0.0</f>
        <v>0.0</v>
      </c>
      <c r="C22" s="9">
        <f>'GASTOS_ADM_VTAS_FINANZAS'!B5+'GASTOS_ADM_VTAS_FINANZAS'!B7+'GASTOS_ADM_VTAS_FINANZAS'!B6*(1+$B$36)</f>
        <v>43419.14</v>
      </c>
      <c r="D22" s="9">
        <f>'GASTOS_ADM_VTAS_FINANZAS'!C5+'GASTOS_ADM_VTAS_FINANZAS'!C7+'GASTOS_ADM_VTAS_FINANZAS'!C6*(1+$B$36)</f>
        <v>48078.47</v>
      </c>
      <c r="E22" s="9">
        <f>'GASTOS_ADM_VTAS_FINANZAS'!D5+'GASTOS_ADM_VTAS_FINANZAS'!D7+'GASTOS_ADM_VTAS_FINANZAS'!D6*(1+$B$36)</f>
        <v>53288.46</v>
      </c>
      <c r="F22" s="9">
        <f>'GASTOS_ADM_VTAS_FINANZAS'!E5+'GASTOS_ADM_VTAS_FINANZAS'!E7+'GASTOS_ADM_VTAS_FINANZAS'!E6*(1+$B$36)</f>
        <v>73867.24</v>
      </c>
      <c r="G22" s="9">
        <f>'GASTOS_ADM_VTAS_FINANZAS'!F5+'GASTOS_ADM_VTAS_FINANZAS'!F7+'GASTOS_ADM_VTAS_FINANZAS'!F6*(1+$B$36)</f>
        <v>76992.59</v>
      </c>
      <c r="H22" s="9">
        <f>'GASTOS_ADM_VTAS_FINANZAS'!G5+'GASTOS_ADM_VTAS_FINANZAS'!G7+'GASTOS_ADM_VTAS_FINANZAS'!G6*(1+$B$36)</f>
        <v>91655.15</v>
      </c>
      <c r="I22" s="9">
        <f>'GASTOS_ADM_VTAS_FINANZAS'!H5+'GASTOS_ADM_VTAS_FINANZAS'!H7+'GASTOS_ADM_VTAS_FINANZAS'!H6*(1+$B$36)</f>
        <v>96971.69</v>
      </c>
      <c r="J22" s="9">
        <f>'GASTOS_ADM_VTAS_FINANZAS'!I5+'GASTOS_ADM_VTAS_FINANZAS'!I7+'GASTOS_ADM_VTAS_FINANZAS'!I6*(1+$B$36)</f>
        <v>117014.02</v>
      </c>
      <c r="K22" s="9">
        <f>'GASTOS_ADM_VTAS_FINANZAS'!J5+'GASTOS_ADM_VTAS_FINANZAS'!J7+'GASTOS_ADM_VTAS_FINANZAS'!J6*(1+$B$36)</f>
        <v>133808.22</v>
      </c>
      <c r="L22" s="9">
        <f>'GASTOS_ADM_VTAS_FINANZAS'!K5+'GASTOS_ADM_VTAS_FINANZAS'!K7+'GASTOS_ADM_VTAS_FINANZAS'!K6*(1+$B$36)</f>
        <v>141409.45</v>
      </c>
    </row>
    <row r="23" spans="1:12" ht="18" customHeight="1">
      <c r="A23" s="5" t="s">
        <v>566</v>
      </c>
      <c r="B23" s="9">
        <f>0.0</f>
        <v>0.0</v>
      </c>
      <c r="C23" s="9">
        <f>0</f>
        <v>0.0</v>
      </c>
      <c r="D23" s="9">
        <f>MAX(0,('ESTADO DE RESULTADOS'!B6*(1+$B$36)-('COSTOS'!B27+'COSTOS'!B40+'COSTOS'!B47*(1+$B$36)+'PLANILLA'!B6+'COSTOS'!B73)-('GASTOS_ADM_VTAS_FINANZAS'!B15+'GASTOS_ADM_VTAS_FINANZAS'!B5+'GASTOS_ADM_VTAS_FINANZAS'!B7+'GASTOS_ADM_VTAS_FINANZAS'!B6*(1+$B$36))-'GASTOS_ADM_VTAS_FINANZAS'!B20))*'ESTADO DE RESULTADOS'!$B$23</f>
        <v>0.0</v>
      </c>
      <c r="E23" s="9">
        <f>MAX(0,('ESTADO DE RESULTADOS'!C6*(1+$B$36)-('COSTOS'!C27+'COSTOS'!C40+'COSTOS'!C47*(1+$B$36)+'PLANILLA'!C6+'COSTOS'!C73)-('GASTOS_ADM_VTAS_FINANZAS'!C15+'GASTOS_ADM_VTAS_FINANZAS'!C5+'GASTOS_ADM_VTAS_FINANZAS'!C7+'GASTOS_ADM_VTAS_FINANZAS'!C6*(1+$B$36))-'GASTOS_ADM_VTAS_FINANZAS'!C20))*'ESTADO DE RESULTADOS'!$B$23</f>
        <v>0.0</v>
      </c>
      <c r="F23" s="9">
        <f>MAX(0,('ESTADO DE RESULTADOS'!D6*(1+$B$36)-('COSTOS'!D27+'COSTOS'!D40+'COSTOS'!D47*(1+$B$36)+'PLANILLA'!D6+'COSTOS'!D73)-('GASTOS_ADM_VTAS_FINANZAS'!D15+'GASTOS_ADM_VTAS_FINANZAS'!D5+'GASTOS_ADM_VTAS_FINANZAS'!D7+'GASTOS_ADM_VTAS_FINANZAS'!D6*(1+$B$36))-'GASTOS_ADM_VTAS_FINANZAS'!D20))*'ESTADO DE RESULTADOS'!$B$23</f>
        <v>0.0</v>
      </c>
      <c r="G23" s="9">
        <f>MAX(0,('ESTADO DE RESULTADOS'!E6*(1+$B$36)-('COSTOS'!E27+'COSTOS'!E40+'COSTOS'!E47*(1+$B$36)+'PLANILLA'!E6+'COSTOS'!E73)-('GASTOS_ADM_VTAS_FINANZAS'!E15+'GASTOS_ADM_VTAS_FINANZAS'!E5+'GASTOS_ADM_VTAS_FINANZAS'!E7+'GASTOS_ADM_VTAS_FINANZAS'!E6*(1+$B$36))-'GASTOS_ADM_VTAS_FINANZAS'!E20))*'ESTADO DE RESULTADOS'!$B$23</f>
        <v>11861.36</v>
      </c>
      <c r="H23" s="9">
        <f>MAX(0,('ESTADO DE RESULTADOS'!F6*(1+$B$36)-('COSTOS'!F27+'COSTOS'!F40+'COSTOS'!F47*(1+$B$36)+'PLANILLA'!F6+'COSTOS'!F73)-('GASTOS_ADM_VTAS_FINANZAS'!F15+'GASTOS_ADM_VTAS_FINANZAS'!F5+'GASTOS_ADM_VTAS_FINANZAS'!F7+'GASTOS_ADM_VTAS_FINANZAS'!F6*(1+$B$36))-'GASTOS_ADM_VTAS_FINANZAS'!F20))*'ESTADO DE RESULTADOS'!$B$23</f>
        <v>20117.64</v>
      </c>
      <c r="I23" s="9">
        <f>MAX(0,('ESTADO DE RESULTADOS'!G6*(1+$B$36)-('COSTOS'!G27+'COSTOS'!G40+'COSTOS'!G47*(1+$B$36)+'PLANILLA'!G6+'COSTOS'!G73)-('GASTOS_ADM_VTAS_FINANZAS'!G15+'GASTOS_ADM_VTAS_FINANZAS'!G5+'GASTOS_ADM_VTAS_FINANZAS'!G7+'GASTOS_ADM_VTAS_FINANZAS'!G6*(1+$B$36))-'GASTOS_ADM_VTAS_FINANZAS'!G20))*'ESTADO DE RESULTADOS'!$B$23</f>
        <v>95315.11</v>
      </c>
      <c r="J23" s="9">
        <f>MAX(0,('ESTADO DE RESULTADOS'!H6*(1+$B$36)-('COSTOS'!H27+'COSTOS'!H40+'COSTOS'!H47*(1+$B$36)+'PLANILLA'!H6+'COSTOS'!H73)-('GASTOS_ADM_VTAS_FINANZAS'!H15+'GASTOS_ADM_VTAS_FINANZAS'!H5+'GASTOS_ADM_VTAS_FINANZAS'!H7+'GASTOS_ADM_VTAS_FINANZAS'!H6*(1+$B$36))-'GASTOS_ADM_VTAS_FINANZAS'!H20))*'ESTADO DE RESULTADOS'!$B$23</f>
        <v>119119.8</v>
      </c>
      <c r="K23" s="9">
        <f>MAX(0,('ESTADO DE RESULTADOS'!I6*(1+$B$36)-('COSTOS'!I27+'COSTOS'!I40+'COSTOS'!I47*(1+$B$36)+'PLANILLA'!I6+'COSTOS'!I73)-('GASTOS_ADM_VTAS_FINANZAS'!I15+'GASTOS_ADM_VTAS_FINANZAS'!I5+'GASTOS_ADM_VTAS_FINANZAS'!I7+'GASTOS_ADM_VTAS_FINANZAS'!I6*(1+$B$36))-'GASTOS_ADM_VTAS_FINANZAS'!I20))*'ESTADO DE RESULTADOS'!$B$23</f>
        <v>120904.97</v>
      </c>
      <c r="L23" s="9">
        <f>MAX(0,('ESTADO DE RESULTADOS'!J6*(1+$B$36)-('COSTOS'!J27+'COSTOS'!J40+'COSTOS'!J47*(1+$B$36)+'PLANILLA'!J6+'COSTOS'!J73)-('GASTOS_ADM_VTAS_FINANZAS'!J15+'GASTOS_ADM_VTAS_FINANZAS'!J5+'GASTOS_ADM_VTAS_FINANZAS'!J7+'GASTOS_ADM_VTAS_FINANZAS'!J6*(1+$B$36))-'GASTOS_ADM_VTAS_FINANZAS'!J20))*'ESTADO DE RESULTADOS'!$B$23</f>
        <v>197600.52</v>
      </c>
    </row>
    <row r="24" spans="1:12" ht="18" customHeight="1">
      <c r="A24" s="5" t="s">
        <v>567</v>
      </c>
      <c r="B24" s="9">
        <f>0.0</f>
        <v>0.0</v>
      </c>
      <c r="C24" s="9">
        <f>'GASTOS_ADM_VTAS_FINANZAS'!B20</f>
        <v>32400.0</v>
      </c>
      <c r="D24" s="9">
        <f>'GASTOS_ADM_VTAS_FINANZAS'!C20</f>
        <v>32400.0</v>
      </c>
      <c r="E24" s="9">
        <f>'GASTOS_ADM_VTAS_FINANZAS'!D20</f>
        <v>32400.0</v>
      </c>
      <c r="F24" s="9">
        <f>'GASTOS_ADM_VTAS_FINANZAS'!E20</f>
        <v>28968.51</v>
      </c>
      <c r="G24" s="9">
        <f>'GASTOS_ADM_VTAS_FINANZAS'!F20</f>
        <v>24919.36</v>
      </c>
      <c r="H24" s="9">
        <f>'GASTOS_ADM_VTAS_FINANZAS'!G20</f>
        <v>20141.35</v>
      </c>
      <c r="I24" s="9">
        <f>'GASTOS_ADM_VTAS_FINANZAS'!H20</f>
        <v>14503.31</v>
      </c>
      <c r="J24" s="9">
        <f>'GASTOS_ADM_VTAS_FINANZAS'!I20</f>
        <v>7850.41</v>
      </c>
      <c r="K24" s="9">
        <f>'GASTOS_ADM_VTAS_FINANZAS'!J20</f>
        <v>0.0</v>
      </c>
      <c r="L24" s="9">
        <f>'GASTOS_ADM_VTAS_FINANZAS'!K20</f>
        <v>0.0</v>
      </c>
    </row>
    <row r="25" spans="1:12" ht="18" customHeight="1">
      <c r="A25" s="5" t="s">
        <v>340</v>
      </c>
      <c r="B25" s="9">
        <f>0.0</f>
        <v>0.0</v>
      </c>
      <c r="C25" s="9">
        <f>'GASTOS_ADM_VTAS_FINANZAS'!B21</f>
        <v>0.0</v>
      </c>
      <c r="D25" s="9">
        <f>'GASTOS_ADM_VTAS_FINANZAS'!C21</f>
        <v>0.0</v>
      </c>
      <c r="E25" s="9">
        <f>'GASTOS_ADM_VTAS_FINANZAS'!D21</f>
        <v>19063.82</v>
      </c>
      <c r="F25" s="9">
        <f>'GASTOS_ADM_VTAS_FINANZAS'!E21</f>
        <v>22495.31</v>
      </c>
      <c r="G25" s="9">
        <f>'GASTOS_ADM_VTAS_FINANZAS'!F21</f>
        <v>26544.47</v>
      </c>
      <c r="H25" s="9">
        <f>'GASTOS_ADM_VTAS_FINANZAS'!G21</f>
        <v>31322.47</v>
      </c>
      <c r="I25" s="9">
        <f>'GASTOS_ADM_VTAS_FINANZAS'!H21</f>
        <v>36960.52</v>
      </c>
      <c r="J25" s="9">
        <f>'GASTOS_ADM_VTAS_FINANZAS'!I21</f>
        <v>43613.41</v>
      </c>
      <c r="K25" s="9">
        <f>'GASTOS_ADM_VTAS_FINANZAS'!J21</f>
        <v>0.0</v>
      </c>
      <c r="L25" s="9">
        <f>'GASTOS_ADM_VTAS_FINANZAS'!K21</f>
        <v>0.0</v>
      </c>
    </row>
    <row r="26" spans="1:12" ht="18" customHeight="1">
      <c r="A26" s="8" t="s">
        <v>568</v>
      </c>
      <c r="B26" s="8">
        <f>SUM(B14:B25)</f>
        <v>250000.0</v>
      </c>
      <c r="C26" s="8">
        <f>SUM(C14:C25)</f>
        <v>523875.91</v>
      </c>
      <c r="D26" s="8">
        <f>SUM(D14:D25)</f>
        <v>657829.25</v>
      </c>
      <c r="E26" s="8">
        <f>SUM(E14:E25)</f>
        <v>761726.81</v>
      </c>
      <c r="F26" s="8">
        <f>SUM(F14:F25)</f>
        <v>847400.44</v>
      </c>
      <c r="G26" s="8">
        <f>SUM(G14:G25)</f>
        <v>884597.77</v>
      </c>
      <c r="H26" s="8">
        <f>SUM(H14:H25)</f>
        <v>1141512.24</v>
      </c>
      <c r="I26" s="8">
        <f>SUM(I14:I25)</f>
        <v>1273530.65</v>
      </c>
      <c r="J26" s="8">
        <f>SUM(J14:J25)</f>
        <v>1383153.02</v>
      </c>
      <c r="K26" s="8">
        <f>SUM(K14:K25)</f>
        <v>1584361.33</v>
      </c>
      <c r="L26" s="8">
        <f>SUM(L14:L25)</f>
        <v>1735941.41</v>
      </c>
    </row>
    <row r="28" spans="1:12" ht="18" customHeight="1">
      <c r="A28" s="8" t="s">
        <v>569</v>
      </c>
      <c r="B28" s="8">
        <f>B11-B26</f>
        <v>50000.0</v>
      </c>
      <c r="C28" s="8">
        <f>C11-C26</f>
        <v>-94675.27</v>
      </c>
      <c r="D28" s="8">
        <f>D11-D26</f>
        <v>-55418.39</v>
      </c>
      <c r="E28" s="8">
        <f>E11-E26</f>
        <v>-11852.38</v>
      </c>
      <c r="F28" s="8">
        <f>F11-F26</f>
        <v>54959.43</v>
      </c>
      <c r="G28" s="8">
        <f>G11-G26</f>
        <v>62956.66</v>
      </c>
      <c r="H28" s="8">
        <f>H11-H26</f>
        <v>238761.12</v>
      </c>
      <c r="I28" s="8">
        <f>I11-I26</f>
        <v>261238.04</v>
      </c>
      <c r="J28" s="8">
        <f>J11-J26</f>
        <v>238803.93</v>
      </c>
      <c r="K28" s="8">
        <f>K11-K26</f>
        <v>512132.98</v>
      </c>
      <c r="L28" s="8">
        <f>L11-L26</f>
        <v>558685.66</v>
      </c>
    </row>
    <row r="30" spans="1:12" ht="18" customHeight="1">
      <c r="A30" s="5" t="s">
        <v>570</v>
      </c>
      <c r="B30" s="9">
        <f>0</f>
        <v>0.0</v>
      </c>
      <c r="C30" s="9">
        <f>B32</f>
        <v>50000.0</v>
      </c>
      <c r="D30" s="9">
        <f>C32</f>
        <v>-44675.27</v>
      </c>
      <c r="E30" s="9">
        <f>D32</f>
        <v>-100093.66</v>
      </c>
      <c r="F30" s="9">
        <f>E32</f>
        <v>-111946.04</v>
      </c>
      <c r="G30" s="9">
        <f>F32</f>
        <v>-56986.61</v>
      </c>
      <c r="H30" s="9">
        <f>G32</f>
        <v>5970.05</v>
      </c>
      <c r="I30" s="9">
        <f>H32</f>
        <v>244731.18</v>
      </c>
      <c r="J30" s="9">
        <f>I32</f>
        <v>505969.22</v>
      </c>
      <c r="K30" s="9">
        <f>J32</f>
        <v>744773.15</v>
      </c>
      <c r="L30" s="9">
        <f>K32</f>
        <v>1256906.13</v>
      </c>
    </row>
    <row r="32" spans="1:12" ht="18" customHeight="1">
      <c r="A32" s="8" t="s">
        <v>571</v>
      </c>
      <c r="B32" s="8">
        <f>B30+B28</f>
        <v>50000.0</v>
      </c>
      <c r="C32" s="8">
        <f>C30+C28</f>
        <v>-44675.27</v>
      </c>
      <c r="D32" s="8">
        <f>D30+D28</f>
        <v>-100093.66</v>
      </c>
      <c r="E32" s="8">
        <f>E30+E28</f>
        <v>-111946.04</v>
      </c>
      <c r="F32" s="8">
        <f>F30+F28</f>
        <v>-56986.61</v>
      </c>
      <c r="G32" s="8">
        <f>G30+G28</f>
        <v>5970.05</v>
      </c>
      <c r="H32" s="8">
        <f>H30+H28</f>
        <v>244731.18</v>
      </c>
      <c r="I32" s="8">
        <f>I30+I28</f>
        <v>505969.22</v>
      </c>
      <c r="J32" s="8">
        <f>J30+J28</f>
        <v>744773.15</v>
      </c>
      <c r="K32" s="8">
        <f>K30+K28</f>
        <v>1256906.13</v>
      </c>
      <c r="L32" s="8">
        <f>L30+L28</f>
        <v>1815591.79</v>
      </c>
    </row>
    <row r="34" spans="1:12" ht="18" customHeight="1">
      <c r="A34" s="13" t="s">
        <v>572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</row>
    <row r="35" spans="1:12" ht="18" customHeight="1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6" spans="1:12" ht="18" customHeight="1">
      <c r="A36" s="5" t="s">
        <v>735</v>
      </c>
      <c r="B36" s="11">
        <v>-0.1</v>
      </c>
    </row>
    <row r="39" spans="1:12" ht="18" customHeight="1">
      <c r="A39" s="13" t="s">
        <v>515</v>
      </c>
      <c r="I39" s="13" t="s">
        <v>516</v>
      </c>
    </row>
  </sheetData>
  <mergeCells count="3">
    <mergeCell ref="A1:L1"/>
    <mergeCell ref="A2:L2"/>
    <mergeCell ref="A34:L35"/>
  </mergeCells>
  <pageMargins left="0.25" right="0.25" top="0.35" bottom="0.35" header="0.3" footer="0.3"/>
  <pageSetup paperSize="9" fitToHeight="0" orientation="landscape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08080"/>
    <pageSetUpPr fitToPage="1"/>
  </sheetPr>
  <dimension ref="A1:L36"/>
  <sheetViews>
    <sheetView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8" customHeight="1"/>
  <cols>
    <col min="1" max="1" width="44.7109375" customWidth="1"/>
    <col min="2" max="12" width="13.28515625" customWidth="1"/>
  </cols>
  <sheetData>
    <row r="1" spans="1:12" ht="22" customHeight="1">
      <c r="A1" s="1" t="s">
        <v>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4" spans="1:12" ht="18" customHeight="1">
      <c r="A4" s="4" t="s">
        <v>641</v>
      </c>
      <c r="B4" s="4" t="s">
        <v>642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</row>
    <row r="5" spans="1:12" ht="18" customHeight="1">
      <c r="A5" s="5" t="s">
        <v>643</v>
      </c>
      <c r="B5" s="9">
        <f>'PLAN DE INVERSION'!C27</f>
        <v>300000.0</v>
      </c>
      <c r="C5" s="9">
        <f>0.0</f>
        <v>0.0</v>
      </c>
      <c r="D5" s="9">
        <f>0.0</f>
        <v>0.0</v>
      </c>
      <c r="E5" s="9">
        <f>0.0</f>
        <v>0.0</v>
      </c>
      <c r="F5" s="9">
        <f>0.0</f>
        <v>0.0</v>
      </c>
      <c r="G5" s="9">
        <f>0.0</f>
        <v>0.0</v>
      </c>
      <c r="H5" s="9">
        <f>0.0</f>
        <v>0.0</v>
      </c>
      <c r="I5" s="9">
        <f>0.0</f>
        <v>0.0</v>
      </c>
      <c r="J5" s="9">
        <f>0.0</f>
        <v>0.0</v>
      </c>
      <c r="K5" s="9">
        <f>0.0</f>
        <v>0.0</v>
      </c>
      <c r="L5" s="9">
        <f>0.0</f>
        <v>0.0</v>
      </c>
    </row>
    <row r="6" spans="1:12" ht="18" customHeight="1">
      <c r="A6" s="5" t="s">
        <v>644</v>
      </c>
      <c r="B6" s="9">
        <f>0.0</f>
        <v>0.0</v>
      </c>
      <c r="C6" s="9">
        <f>'Presupuesto Caja Bajando Precio'!C11</f>
        <v>429200.64</v>
      </c>
      <c r="D6" s="9">
        <f>'Presupuesto Caja Bajando Precio'!D11</f>
        <v>602410.87</v>
      </c>
      <c r="E6" s="9">
        <f>'Presupuesto Caja Bajando Precio'!E11</f>
        <v>749874.43</v>
      </c>
      <c r="F6" s="9">
        <f>'Presupuesto Caja Bajando Precio'!F11</f>
        <v>902359.87</v>
      </c>
      <c r="G6" s="9">
        <f>'Presupuesto Caja Bajando Precio'!G11</f>
        <v>947554.43</v>
      </c>
      <c r="H6" s="9">
        <f>'Presupuesto Caja Bajando Precio'!H11</f>
        <v>1380273.37</v>
      </c>
      <c r="I6" s="9">
        <f>'Presupuesto Caja Bajando Precio'!I11</f>
        <v>1534768.69</v>
      </c>
      <c r="J6" s="9">
        <f>'Presupuesto Caja Bajando Precio'!J11</f>
        <v>1621956.95</v>
      </c>
      <c r="K6" s="9">
        <f>'Presupuesto Caja Bajando Precio'!K11</f>
        <v>2096494.31</v>
      </c>
      <c r="L6" s="9">
        <f>'Presupuesto Caja Bajando Precio'!L11</f>
        <v>2294627.07</v>
      </c>
    </row>
    <row r="7" spans="1:12" ht="18" customHeight="1">
      <c r="A7" s="5" t="s">
        <v>645</v>
      </c>
      <c r="B7" s="9">
        <f>0.0</f>
        <v>0.0</v>
      </c>
      <c r="C7" s="9">
        <f>'Presupuesto Caja Bajando Precio'!C26</f>
        <v>523875.91</v>
      </c>
      <c r="D7" s="9">
        <f>'Presupuesto Caja Bajando Precio'!D26</f>
        <v>657829.25</v>
      </c>
      <c r="E7" s="9">
        <f>'Presupuesto Caja Bajando Precio'!E26</f>
        <v>761726.81</v>
      </c>
      <c r="F7" s="9">
        <f>'Presupuesto Caja Bajando Precio'!F26</f>
        <v>847400.44</v>
      </c>
      <c r="G7" s="9">
        <f>'Presupuesto Caja Bajando Precio'!G26</f>
        <v>884597.77</v>
      </c>
      <c r="H7" s="9">
        <f>'Presupuesto Caja Bajando Precio'!H26</f>
        <v>1141512.24</v>
      </c>
      <c r="I7" s="9">
        <f>'Presupuesto Caja Bajando Precio'!I26</f>
        <v>1273530.65</v>
      </c>
      <c r="J7" s="9">
        <f>'Presupuesto Caja Bajando Precio'!J26</f>
        <v>1383153.02</v>
      </c>
      <c r="K7" s="9">
        <f>'Presupuesto Caja Bajando Precio'!K26</f>
        <v>1584361.33</v>
      </c>
      <c r="L7" s="9">
        <f>'Presupuesto Caja Bajando Precio'!L26</f>
        <v>1735941.41</v>
      </c>
    </row>
    <row r="8" spans="1:12" ht="18" customHeight="1">
      <c r="A8" s="5" t="s">
        <v>569</v>
      </c>
      <c r="B8" s="9">
        <f>B6-B7</f>
        <v>0.0</v>
      </c>
      <c r="C8" s="9">
        <f>C6-C7</f>
        <v>-94675.27</v>
      </c>
      <c r="D8" s="9">
        <f>D6-D7</f>
        <v>-55418.39</v>
      </c>
      <c r="E8" s="9">
        <f>E6-E7</f>
        <v>-11852.38</v>
      </c>
      <c r="F8" s="9">
        <f>F6-F7</f>
        <v>54959.43</v>
      </c>
      <c r="G8" s="9">
        <f>G6-G7</f>
        <v>62956.66</v>
      </c>
      <c r="H8" s="9">
        <f>H6-H7</f>
        <v>238761.12</v>
      </c>
      <c r="I8" s="9">
        <f>I6-I7</f>
        <v>261238.04</v>
      </c>
      <c r="J8" s="9">
        <f>J6-J7</f>
        <v>238803.93</v>
      </c>
      <c r="K8" s="9">
        <f>K6-K7</f>
        <v>512132.98</v>
      </c>
      <c r="L8" s="9">
        <f>L6-L7</f>
        <v>558685.66</v>
      </c>
    </row>
    <row r="9" spans="1:12" ht="18" customHeight="1">
      <c r="A9" s="5" t="s">
        <v>646</v>
      </c>
      <c r="B9" s="9">
        <f>0.0</f>
        <v>0.0</v>
      </c>
      <c r="C9" s="9">
        <f>0.0</f>
        <v>0.0</v>
      </c>
      <c r="D9" s="9">
        <f>0.0</f>
        <v>0.0</v>
      </c>
      <c r="E9" s="9">
        <f>0.0</f>
        <v>0.0</v>
      </c>
      <c r="F9" s="9">
        <f>0.0</f>
        <v>0.0</v>
      </c>
      <c r="G9" s="9">
        <f>0.0</f>
        <v>0.0</v>
      </c>
      <c r="H9" s="9">
        <f>0.0</f>
        <v>0.0</v>
      </c>
      <c r="I9" s="9">
        <f>0.0</f>
        <v>0.0</v>
      </c>
      <c r="J9" s="9">
        <f>0.0</f>
        <v>0.0</v>
      </c>
      <c r="K9" s="9">
        <f>0.0</f>
        <v>0.0</v>
      </c>
      <c r="L9" s="9">
        <f>'BALANCE GENERAL PROYECTADO'!L7*(1+$C$17)</f>
        <v>277561.08</v>
      </c>
    </row>
    <row r="10" spans="1:12" ht="18" customHeight="1">
      <c r="A10" s="5" t="s">
        <v>647</v>
      </c>
      <c r="B10" s="9">
        <f>0.0</f>
        <v>0.0</v>
      </c>
      <c r="C10" s="9">
        <f>0.0</f>
        <v>0.0</v>
      </c>
      <c r="D10" s="9">
        <f>0.0</f>
        <v>0.0</v>
      </c>
      <c r="E10" s="9">
        <f>0.0</f>
        <v>0.0</v>
      </c>
      <c r="F10" s="9">
        <f>0.0</f>
        <v>0.0</v>
      </c>
      <c r="G10" s="9">
        <f>0.0</f>
        <v>0.0</v>
      </c>
      <c r="H10" s="9">
        <f>0.0</f>
        <v>0.0</v>
      </c>
      <c r="I10" s="9">
        <f>0.0</f>
        <v>0.0</v>
      </c>
      <c r="J10" s="9">
        <f>0.0</f>
        <v>0.0</v>
      </c>
      <c r="K10" s="9">
        <f>0.0</f>
        <v>0.0</v>
      </c>
      <c r="L10" s="9">
        <f>'BALANCE GENERAL PROYECTADO'!L8</f>
        <v>0</v>
      </c>
    </row>
    <row r="11" spans="1:12" ht="18" customHeight="1">
      <c r="A11" s="5" t="s">
        <v>648</v>
      </c>
      <c r="B11" s="9">
        <f>0.0</f>
        <v>0.0</v>
      </c>
      <c r="C11" s="9">
        <f>0.0</f>
        <v>0.0</v>
      </c>
      <c r="D11" s="9">
        <f>0.0</f>
        <v>0.0</v>
      </c>
      <c r="E11" s="9">
        <f>0.0</f>
        <v>0.0</v>
      </c>
      <c r="F11" s="9">
        <f>0.0</f>
        <v>0.0</v>
      </c>
      <c r="G11" s="9">
        <f>0.0</f>
        <v>0.0</v>
      </c>
      <c r="H11" s="9">
        <f>0.0</f>
        <v>0.0</v>
      </c>
      <c r="I11" s="9">
        <f>0.0</f>
        <v>0.0</v>
      </c>
      <c r="J11" s="9">
        <f>0.0</f>
        <v>0.0</v>
      </c>
      <c r="K11" s="9">
        <f>0.0</f>
        <v>0.0</v>
      </c>
      <c r="L11" s="9">
        <f>'DEPRECIACIONES AMORTIZACION'!B108</f>
        <v>35000.0</v>
      </c>
    </row>
    <row r="12" spans="1:12" ht="18" customHeight="1">
      <c r="A12" s="5" t="s">
        <v>649</v>
      </c>
      <c r="B12" s="9">
        <f>0.0</f>
        <v>0.0</v>
      </c>
      <c r="C12" s="9">
        <f>0.0</f>
        <v>0.0</v>
      </c>
      <c r="D12" s="9">
        <f>0.0</f>
        <v>0.0</v>
      </c>
      <c r="E12" s="9">
        <f>0.0</f>
        <v>0.0</v>
      </c>
      <c r="F12" s="9">
        <f>0.0</f>
        <v>0.0</v>
      </c>
      <c r="G12" s="9">
        <f>0.0</f>
        <v>0.0</v>
      </c>
      <c r="H12" s="9">
        <f>0.0</f>
        <v>0.0</v>
      </c>
      <c r="I12" s="9">
        <f>0.0</f>
        <v>0.0</v>
      </c>
      <c r="J12" s="9">
        <f>0.0</f>
        <v>0.0</v>
      </c>
      <c r="K12" s="9">
        <f>0.0</f>
        <v>0.0</v>
      </c>
      <c r="L12" s="9">
        <f>-((('COSTOS'!K27+'COSTOS'!K40)*1+'COSTOS'!K47*(1+$C$17)*1)*'COSTOS'!$B$127*(1-'COSTOS'!$B$128)+MAX(0,('INGRESOS'!K19*(1+$C$17)-((('COSTOS'!K27+'COSTOS'!K40)*1+'COSTOS'!K47*(1+$C$17)*1)+'PLANILLA'!K6+SUM('COSTOS'!K67:K71)*1+'COSTOS'!K72)-('GASTOS_ADM_VTAS_FINANZAS'!K12+'GASTOS_ADM_VTAS_FINANZAS'!K13*1+'GASTOS_ADM_VTAS_FINANZAS'!K14+'GASTOS_ADM_VTAS_FINANZAS'!K5+'GASTOS_ADM_VTAS_FINANZAS'!K7*1+'GASTOS_ADM_VTAS_FINANZAS'!K6*(1+$C$17)*1)-'GASTOS_ADM_VTAS_FINANZAS'!K20))*'ESTADO DE RESULTADOS'!$B$23)</f>
        <v>-319397.61</v>
      </c>
    </row>
    <row r="13" spans="1:12" ht="18" customHeight="1">
      <c r="A13" s="8" t="s">
        <v>650</v>
      </c>
      <c r="B13" s="8">
        <f>B5+B8+SUM(B9:B12)</f>
        <v>300000.0</v>
      </c>
      <c r="C13" s="8">
        <f>C5+C8+SUM(C9:C12)</f>
        <v>-94675.27</v>
      </c>
      <c r="D13" s="8">
        <f>D5+D8+SUM(D9:D12)</f>
        <v>-55418.39</v>
      </c>
      <c r="E13" s="8">
        <f>E5+E8+SUM(E9:E12)</f>
        <v>-11852.38</v>
      </c>
      <c r="F13" s="8">
        <f>F5+F8+SUM(F9:F12)</f>
        <v>54959.43</v>
      </c>
      <c r="G13" s="8">
        <f>G5+G8+SUM(G9:G12)</f>
        <v>62956.66</v>
      </c>
      <c r="H13" s="8">
        <f>H5+H8+SUM(H9:H12)</f>
        <v>238761.12</v>
      </c>
      <c r="I13" s="8">
        <f>I5+I8+SUM(I9:I12)</f>
        <v>261238.04</v>
      </c>
      <c r="J13" s="8">
        <f>J5+J8+SUM(J9:J12)</f>
        <v>238803.93</v>
      </c>
      <c r="K13" s="8">
        <f>K5+K8+SUM(K9:K12)</f>
        <v>512132.98</v>
      </c>
      <c r="L13" s="8">
        <f>L5+L8+SUM(L9:L12)</f>
        <v>551849.13</v>
      </c>
    </row>
    <row r="16" spans="1:12" ht="18" customHeight="1">
      <c r="A16" s="3" t="s">
        <v>683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ht="18" customHeight="1">
      <c r="A17" s="5" t="s">
        <v>684</v>
      </c>
      <c r="B17" s="12" t="s">
        <v>735</v>
      </c>
      <c r="C17" s="11">
        <f>'Presupuesto Caja Bajando Precio'!B36</f>
        <v>-0.1</v>
      </c>
    </row>
    <row r="18" spans="1:12" ht="18" customHeight="1">
      <c r="A18" s="5" t="s">
        <v>686</v>
      </c>
      <c r="B18" s="11">
        <f>('PLAN DE INVERSION'!D27/'PLAN DE INVERSION'!C27)*'COSTO CAPITAL VAN TIR IR'!D5+('PLAN DE INVERSION'!F27/'PLAN DE INVERSION'!C27)*'GASTOS_ADM_VTAS_FINANZAS'!B49</f>
        <v>0.144</v>
      </c>
    </row>
    <row r="19" spans="1:12" ht="18" customHeight="1">
      <c r="A19" s="5" t="s">
        <v>658</v>
      </c>
      <c r="B19" s="11">
        <f>'COSTO CAPITAL VAN TIR IR'!E9</f>
        <v>0.0355</v>
      </c>
    </row>
    <row r="20" spans="1:12" ht="18" customHeight="1">
      <c r="A20" s="5" t="s">
        <v>659</v>
      </c>
      <c r="B20" s="11">
        <f>B18*B19</f>
        <v>0.005111999999999999</v>
      </c>
    </row>
    <row r="21" spans="1:12" ht="18" customHeight="1">
      <c r="A21" s="8" t="s">
        <v>660</v>
      </c>
      <c r="B21" s="22">
        <f>SUM(B18:B20)</f>
        <v>0.184612</v>
      </c>
    </row>
    <row r="23" spans="1:12" ht="18" customHeight="1">
      <c r="A23" s="4" t="s">
        <v>3</v>
      </c>
      <c r="B23" s="4" t="s">
        <v>551</v>
      </c>
      <c r="C23" s="4" t="s">
        <v>4</v>
      </c>
      <c r="D23" s="4" t="s">
        <v>5</v>
      </c>
      <c r="E23" s="4" t="s">
        <v>6</v>
      </c>
      <c r="F23" s="4" t="s">
        <v>7</v>
      </c>
      <c r="G23" s="4" t="s">
        <v>8</v>
      </c>
      <c r="H23" s="4" t="s">
        <v>9</v>
      </c>
      <c r="I23" s="4" t="s">
        <v>10</v>
      </c>
      <c r="J23" s="4" t="s">
        <v>11</v>
      </c>
      <c r="K23" s="4" t="s">
        <v>12</v>
      </c>
      <c r="L23" s="4" t="s">
        <v>13</v>
      </c>
    </row>
    <row r="24" spans="1:12" ht="18" customHeight="1">
      <c r="A24" s="5" t="s">
        <v>687</v>
      </c>
      <c r="B24" s="9">
        <f>-B5</f>
        <v>-300000.0</v>
      </c>
      <c r="C24" s="9">
        <f>C13</f>
        <v>-94675.27</v>
      </c>
      <c r="D24" s="9">
        <f>D13</f>
        <v>-55418.39</v>
      </c>
      <c r="E24" s="9">
        <f>E13</f>
        <v>-11852.38</v>
      </c>
      <c r="F24" s="9">
        <f>F13</f>
        <v>54959.43</v>
      </c>
      <c r="G24" s="9">
        <f>G13</f>
        <v>62956.66</v>
      </c>
      <c r="H24" s="9">
        <f>H13</f>
        <v>238761.12</v>
      </c>
      <c r="I24" s="9">
        <f>I13</f>
        <v>261238.04</v>
      </c>
      <c r="J24" s="9">
        <f>J13</f>
        <v>238803.93</v>
      </c>
      <c r="K24" s="9">
        <f>K13</f>
        <v>512132.98</v>
      </c>
      <c r="L24" s="9">
        <f>L13</f>
        <v>551849.13</v>
      </c>
    </row>
    <row r="25" spans="1:12" ht="18" customHeight="1">
      <c r="A25" s="5" t="s">
        <v>663</v>
      </c>
      <c r="B25" s="9">
        <f>B24/((1+B21)^0)</f>
        <v>-300000.0</v>
      </c>
      <c r="C25" s="9">
        <f>C24/((1+B21)^1)</f>
        <v>-79920.91</v>
      </c>
      <c r="D25" s="9">
        <f>D24/((1+B21)^2)</f>
        <v>-39491.32</v>
      </c>
      <c r="E25" s="9">
        <f>E24/((1+B21)^3)</f>
        <v>-7129.8</v>
      </c>
      <c r="F25" s="9">
        <f>F24/((1+B21)^4)</f>
        <v>27908.58</v>
      </c>
      <c r="G25" s="9">
        <f>G24/((1+B21)^5)</f>
        <v>26987.4</v>
      </c>
      <c r="H25" s="9">
        <f>H24/((1+B21)^6)</f>
        <v>86398.63</v>
      </c>
      <c r="I25" s="9">
        <f>I24/((1+B21)^7)</f>
        <v>79800.12</v>
      </c>
      <c r="J25" s="9">
        <f>J24/((1+B21)^8)</f>
        <v>61578.97</v>
      </c>
      <c r="K25" s="9">
        <f>K24/((1+B21)^9)</f>
        <v>111480.16</v>
      </c>
      <c r="L25" s="9">
        <f>L24/((1+B21)^10)</f>
        <v>101404.93</v>
      </c>
    </row>
    <row r="27" spans="1:12" ht="18" customHeight="1">
      <c r="A27" s="8" t="s">
        <v>688</v>
      </c>
      <c r="B27" s="8">
        <f>SUM(B25:L25)</f>
        <v>69016.76889567848</v>
      </c>
    </row>
    <row r="28" spans="1:12" ht="18" customHeight="1">
      <c r="A28" s="8" t="s">
        <v>689</v>
      </c>
      <c r="B28" s="22">
        <f>IRR(B24:L24)</f>
        <v>0.20925136500888575</v>
      </c>
    </row>
    <row r="29" spans="1:12" ht="18" customHeight="1">
      <c r="A29" s="8" t="s">
        <v>678</v>
      </c>
      <c r="B29" s="7">
        <f>(B27+ABS(B24))/ABS(B24)</f>
        <v>1.230055896318928</v>
      </c>
    </row>
    <row r="30" spans="1:12" ht="18" customHeight="1">
      <c r="A30" s="3" t="s">
        <v>680</v>
      </c>
      <c r="B30" s="12" t="str">
        <f>IF(AND(B27&gt;0,B28&gt;B21,B29&gt;1),"PROYECTO SE ACEPTA","PROYECTO NO VIABLE EN ESTE ESCENARIO")</f>
        <v>PROYECTO SE ACEPTA</v>
      </c>
    </row>
    <row r="32" spans="1:12" ht="18" customHeight="1">
      <c r="A32" s="13" t="s">
        <v>690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ht="18" customHeight="1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6" spans="1:12" ht="18" customHeight="1">
      <c r="A36" s="13" t="s">
        <v>515</v>
      </c>
      <c r="I36" s="13" t="s">
        <v>516</v>
      </c>
    </row>
  </sheetData>
  <mergeCells count="3">
    <mergeCell ref="A1:L1"/>
    <mergeCell ref="A16:L16"/>
    <mergeCell ref="A32:L33"/>
  </mergeCells>
  <pageMargins left="0.25" right="0.25" top="0.35" bottom="0.35" header="0.3" footer="0.3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INGRESOS</vt:lpstr>
      <vt:lpstr>COSTOS</vt:lpstr>
      <vt:lpstr>COSTO DE PRODUCCION UNITARIO</vt:lpstr>
      <vt:lpstr>PLANILLA</vt:lpstr>
      <vt:lpstr>GASTOS_ADM_VTAS_FINANZAS</vt:lpstr>
      <vt:lpstr>DEPRECIACIONES AMORTIZACION</vt:lpstr>
      <vt:lpstr>PLAN DE INVERSION</vt:lpstr>
      <vt:lpstr>BALANCE DE APERTURA</vt:lpstr>
      <vt:lpstr>COSTO DE VENTA</vt:lpstr>
      <vt:lpstr>ESTADO DE RESULTADOS</vt:lpstr>
      <vt:lpstr>PRESUPUESTO CAJA</vt:lpstr>
      <vt:lpstr>BALANCE GENERAL PROYECTADO</vt:lpstr>
      <vt:lpstr>RAZONES FINANCIERAS</vt:lpstr>
      <vt:lpstr>COMENTARIOS DE LAS RAZONES</vt:lpstr>
      <vt:lpstr>PUNTO DE EQUILIBRIO</vt:lpstr>
      <vt:lpstr>FLUJO DE EFECTIVO</vt:lpstr>
      <vt:lpstr>COSTO CAPITAL VAN TIR IR</vt:lpstr>
      <vt:lpstr>Sensibilidad Ingresos Bajos</vt:lpstr>
      <vt:lpstr>Sensibilidad Incremento Gastos</vt:lpstr>
      <vt:lpstr>Sensibilidad Incremento Interes</vt:lpstr>
      <vt:lpstr>Riesgo no recuperacion CxC</vt:lpstr>
      <vt:lpstr>Riesgo Administrativo</vt:lpstr>
      <vt:lpstr>Flujo Optimista</vt:lpstr>
      <vt:lpstr>Analisis Precio</vt:lpstr>
      <vt:lpstr>Presupuesto Caja Bajando Precio</vt:lpstr>
      <vt:lpstr>Flujo Efectivo Bajando Precio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2026-06-21T20:35:07Z</dcterms:created>
  <dcterms:modified xsi:type="dcterms:W3CDTF">2026-06-21T20:35:07Z</dcterms:modified>
</cp:coreProperties>
</file>