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GRESOS" sheetId="1" r:id="rId1"/>
    <sheet name="COSTOS" sheetId="2" r:id="rId2"/>
    <sheet name="COSTO DE PRODUCCION UNITARIO" sheetId="3" r:id="rId3"/>
    <sheet name="PLANILLA" sheetId="4" r:id="rId4"/>
    <sheet name="GASTOS_ADM_VTAS_FINANZAS" sheetId="5" r:id="rId5"/>
    <sheet name="DEPRECIACIONES AMORTIZACION" sheetId="6" r:id="rId6"/>
    <sheet name="PLAN DE INVERSION" sheetId="7" r:id="rId7"/>
    <sheet name="BALANCE DE APERTURA" sheetId="8" r:id="rId8"/>
    <sheet name="COSTO DE VENTA" sheetId="9" r:id="rId9"/>
    <sheet name="ESTADO DE RESULTADOS" sheetId="10" r:id="rId10"/>
    <sheet name="PRESUPUESTO CAJA" sheetId="11" r:id="rId11"/>
    <sheet name="BALANCE GENERAL PROYECTADO" sheetId="12" r:id="rId12"/>
    <sheet name="RAZONES FINANCIERAS" sheetId="13" r:id="rId13"/>
    <sheet name="COMENTARIOS DE LAS RAZONES" sheetId="14" r:id="rId14"/>
    <sheet name="PUNTO DE EQUILIBRIO" sheetId="15" r:id="rId15"/>
    <sheet name="FLUJO DE EFECTIVO" sheetId="16" r:id="rId16"/>
    <sheet name="COSTO CAPITAL VAN TIR IR" sheetId="17" r:id="rId17"/>
    <sheet name="Sensibilidad Ingresos Bajos" sheetId="18" r:id="rId18"/>
    <sheet name="Sensibilidad Incremento Gastos" sheetId="19" r:id="rId19"/>
    <sheet name="Sensibilidad Incremento Interes" sheetId="20" r:id="rId20"/>
    <sheet name="Riesgo no recuperacion CxC" sheetId="21" r:id="rId21"/>
    <sheet name="Riesgo Administrativo" sheetId="22" r:id="rId22"/>
    <sheet name="Flujo Optimista" sheetId="23" r:id="rId23"/>
    <sheet name="Analisis Precio" sheetId="24" r:id="rId24"/>
    <sheet name="Presupuesto Caja Bajando Precio" sheetId="25" r:id="rId25"/>
    <sheet name="Flujo Efectivo Bajando Precio" sheetId="26" r:id="rId26"/>
  </sheets>
  <calcPr calcId="124519" fullCalcOnLoad="1"/>
</workbook>
</file>

<file path=xl/sharedStrings.xml><?xml version="1.0" encoding="utf-8"?>
<sst xmlns="http://schemas.openxmlformats.org/spreadsheetml/2006/main" count="1316" uniqueCount="362">
  <si>
    <t>Servicio de Implementacion MuseIQ - Soporte, IA y Analitica</t>
  </si>
  <si>
    <t>PROYECCION DE INGRESOS - IMPLEMENTACION MUSEIQ</t>
  </si>
  <si>
    <t>Concepto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</si>
  <si>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</si>
  <si>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</si>
  <si>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</si>
  <si>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</si>
  <si>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</si>
  <si>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</si>
  <si>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</si>
  <si>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</si>
  <si>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</si>
  <si>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</si>
  <si>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Museos nuevos - Basico</t>
  </si>
  <si>
    <t>Museos nuevos - Estandar</t>
  </si>
  <si>
    <t>Museos nuevos - Avanzado</t>
  </si>
  <si>
    <t>Total museos implementados por año</t>
  </si>
  <si>
    <t>Ventas implementacion MuseIQ</t>
  </si>
  <si>
    <t>Servicios adicionales de despliegue</t>
  </si>
  <si>
    <t>INGRESOS - SOPORTE, IA Y ANALITICA</t>
  </si>
  <si>
    <t>Museos activos al cierre</t>
  </si>
  <si>
    <t>Museos equivalentes recurrentes - Basico</t>
  </si>
  <si>
    <t>Museos equivalentes recurrentes - Estandar</t>
  </si>
  <si>
    <t>Museos equivalentes recurrentes - Avanzado</t>
  </si>
  <si>
    <t>Ventas soporte, IA y analitica</t>
  </si>
  <si>
    <t>VENTAS TOTALES</t>
  </si>
  <si>
    <t>DETERMINACION DE INGRESOS DE EFECTIVO</t>
  </si>
  <si>
    <t>Ventas al contado 40%</t>
  </si>
  <si>
    <t>Ventas al credito 60%</t>
  </si>
  <si>
    <t>Recuperacion de cuentas por cobrar del año</t>
  </si>
  <si>
    <t>Recuperacion de cuentas por cobrar año anterior</t>
  </si>
  <si>
    <t>TOTAL INGRESOS DE EFECTIVO</t>
  </si>
  <si>
    <t>Saldo de cuentas por cobrar al final del año</t>
  </si>
  <si>
    <t>INFLACION PROYECTADA Y PRECIOS BASE</t>
  </si>
  <si>
    <t>Inflacion anual proyectada</t>
  </si>
  <si>
    <t>Factor acumulado aplicado a precios</t>
  </si>
  <si>
    <t>Paquete</t>
  </si>
  <si>
    <t>Precio base cap. 5</t>
  </si>
  <si>
    <t>Precio economico año 1</t>
  </si>
  <si>
    <t>Recurrente base cap. 5</t>
  </si>
  <si>
    <t>Recurrente economico año 1</t>
  </si>
  <si>
    <t>Cobertura</t>
  </si>
  <si>
    <t>BLE estimados</t>
  </si>
  <si>
    <t>Basico</t>
  </si>
  <si>
    <t>3 a 5 salas</t>
  </si>
  <si>
    <t>8 a 12</t>
  </si>
  <si>
    <t>Estandar</t>
  </si>
  <si>
    <t>6 a 10 salas</t>
  </si>
  <si>
    <t>18 a 25</t>
  </si>
  <si>
    <t>Avanzado</t>
  </si>
  <si>
    <t>12 a 18 salas</t>
  </si>
  <si>
    <t>35 a 45</t>
  </si>
  <si>
    <t>Nota: el precio economico aplica un factor comercial de 20% sobre los valores del capitulo 5 para cubrir formalizacion, garantia, gestion contractual y contingencia operativa.</t>
  </si>
  <si>
    <t>Cuadro de costos de insumos directos anuales</t>
  </si>
  <si>
    <t>MATERIALES Y SERVICIOS DIRECTOS</t>
  </si>
  <si>
    <t>Hardware BLE, señalizacion e instalacion</t>
  </si>
  <si>
    <t>Nube, voz, IA y soporte variable</t>
  </si>
  <si>
    <t>Curaduria, capacitacion y servicios adicionales</t>
  </si>
  <si>
    <t>TOTAL COSTO DIRECTO ANUAL</t>
  </si>
  <si>
    <t>CUADRO DE PRODUCCION - UNIDADES DE SERVICIO</t>
  </si>
  <si>
    <t>Museos implementados</t>
  </si>
  <si>
    <t>Museos equivalentes recurrentes</t>
  </si>
  <si>
    <t>PRESUPUESTO COMPRA DE INSUMOS Y SERVICIOS DIRECTOS</t>
  </si>
  <si>
    <t>Compra de contado 30%</t>
  </si>
  <si>
    <t>Proveedores credito 70%</t>
  </si>
  <si>
    <t>Pago a proveedores en el año</t>
  </si>
  <si>
    <t>Pago a proveedores año anterior</t>
  </si>
  <si>
    <t>TOTAL PAGO A PROVEEDORES</t>
  </si>
  <si>
    <t>Saldo cuentas por pagar</t>
  </si>
  <si>
    <t>COSTO DE ENERGIA, HERRAMIENTAS Y COSTOS INDIRECTOS</t>
  </si>
  <si>
    <t>Energia, internet y comunicaciones</t>
  </si>
  <si>
    <t>Herramientas cloud, repositorios y monitoreo</t>
  </si>
  <si>
    <t>Papeleria, insumos de oficina y pruebas</t>
  </si>
  <si>
    <t>Mantenimiento menor de equipos</t>
  </si>
  <si>
    <t>Depreciacion asignada a produccion</t>
  </si>
  <si>
    <t>TOTAL COSTO INDIRECTO DE PRODUCCION</t>
  </si>
  <si>
    <t>Descripcion de equipos de operacion anual</t>
  </si>
  <si>
    <t>Potencia/uso</t>
  </si>
  <si>
    <t>% produccion</t>
  </si>
  <si>
    <t>% ventas</t>
  </si>
  <si>
    <t>% adm.</t>
  </si>
  <si>
    <t>Laptops de desarrollo y pruebas</t>
  </si>
  <si>
    <t>8 h/dia</t>
  </si>
  <si>
    <t>Servidor local/NAS para RAG y datos</t>
  </si>
  <si>
    <t>24 h/dia</t>
  </si>
  <si>
    <t>Smartphones/tablets de prueba</t>
  </si>
  <si>
    <t>4 h/dia</t>
  </si>
  <si>
    <t>Red WiFi, router y UPS</t>
  </si>
  <si>
    <t>Costo Total de Operacion - MuseIQ</t>
  </si>
  <si>
    <t>Insumos y servicios directos</t>
  </si>
  <si>
    <t>Mano de obra directa</t>
  </si>
  <si>
    <t>Costos indirectos de servicio</t>
  </si>
  <si>
    <t>TOTAL COSTO DE PRODUCCION</t>
  </si>
  <si>
    <t>Costo unitario por museo equivalente</t>
  </si>
  <si>
    <t>El costo unitario se expresa por museo equivalente: museos implementados en el año mas museos recurrentes ponderados.</t>
  </si>
  <si>
    <t>Prestacion de servicios por año - Planilla MuseIQ</t>
  </si>
  <si>
    <t>PRESTACION DE SERVICIOS POR AÑO 1</t>
  </si>
  <si>
    <t>CARGO</t>
  </si>
  <si>
    <t>SUELDO MENSUAL</t>
  </si>
  <si>
    <t>SUELDO ANUAL</t>
  </si>
  <si>
    <t>GRATIFICACION JULIO DICIEMBRE</t>
  </si>
  <si>
    <t>ESSALUD (9%)</t>
  </si>
  <si>
    <t>CTS (8.33%)</t>
  </si>
  <si>
    <t>VACACIONES</t>
  </si>
  <si>
    <t>PREAVISO</t>
  </si>
  <si>
    <t>CESANTIA</t>
  </si>
  <si>
    <t>TOTAL C. SOCIAL</t>
  </si>
  <si>
    <t>TOTAL</t>
  </si>
  <si>
    <t>Administracion</t>
  </si>
  <si>
    <t>Gerente general - financiero</t>
  </si>
  <si>
    <t>Asistente contable administrativo</t>
  </si>
  <si>
    <t>TOTAL PLANILLA ADMINISTRACION</t>
  </si>
  <si>
    <t>Produccion MuseIQ</t>
  </si>
  <si>
    <t>Lider backend, RAG y plataforma</t>
  </si>
  <si>
    <t>Especialista curatorial y datos</t>
  </si>
  <si>
    <t>TOTAL PLANILLA PRODUCCION MUSEIQ</t>
  </si>
  <si>
    <t>Ventas</t>
  </si>
  <si>
    <t>Ejecutivo comercial institucional</t>
  </si>
  <si>
    <t>TOTAL PLANILLA VENTAS</t>
  </si>
  <si>
    <t>PRESTACION DE SERVICIOS POR AÑO 2</t>
  </si>
  <si>
    <t>Ingeniero mobile e IoT BLE</t>
  </si>
  <si>
    <t>PRESTACION DE SERVICIOS POR AÑO 3</t>
  </si>
  <si>
    <t>Soporte tecnico y QA</t>
  </si>
  <si>
    <t>PRESTACION DE SERVICIOS POR AÑO 4</t>
  </si>
  <si>
    <t>Gestor de relaciones institucionales</t>
  </si>
  <si>
    <t>PRESTACION DE SERVICIOS POR AÑO 5</t>
  </si>
  <si>
    <t>Coordinador administrativo y contratos</t>
  </si>
  <si>
    <t>PRESTACION DE SERVICIOS POR AÑO 6</t>
  </si>
  <si>
    <t>Implementador de campo</t>
  </si>
  <si>
    <t>PRESTACION DE SERVICIOS POR AÑO 7</t>
  </si>
  <si>
    <t>PRESTACION DE SERVICIOS POR AÑO 8</t>
  </si>
  <si>
    <t>Analista de datos y soporte IA</t>
  </si>
  <si>
    <t>Coordinador postventa y alianzas</t>
  </si>
  <si>
    <t>PRESTACION DE SERVICIOS POR AÑO 9</t>
  </si>
  <si>
    <t>PRESTACION DE SERVICIOS POR AÑO 10</t>
  </si>
  <si>
    <t>Gastos de Venta, Administracion y Finanzas</t>
  </si>
  <si>
    <t>GASTOS DE VENTA</t>
  </si>
  <si>
    <t>Sueldo y carga social depto. venta</t>
  </si>
  <si>
    <t>Comisiones a vendedores 2.5% ventas</t>
  </si>
  <si>
    <t>Prospeccion, viajes y representacion</t>
  </si>
  <si>
    <t>TOTAL GASTOS DE VENTA</t>
  </si>
  <si>
    <t>GASTOS DE ADMINISTRACION</t>
  </si>
  <si>
    <t>Sueldo y carga social administracion</t>
  </si>
  <si>
    <t>Servicios contables, legales, oficina y comunicaciones</t>
  </si>
  <si>
    <t>Depreciacion y amortizacion asignada</t>
  </si>
  <si>
    <t>TOTAL GASTOS ADMINISTRATIVOS</t>
  </si>
  <si>
    <t>GASTOS FINANCIEROS - AMORTIZACION DEL PRESTAMO</t>
  </si>
  <si>
    <t>Saldo inicial de deuda</t>
  </si>
  <si>
    <t>Intereses</t>
  </si>
  <si>
    <t>Abono a capital</t>
  </si>
  <si>
    <t>Cuota anual</t>
  </si>
  <si>
    <t>Saldo final de deuda</t>
  </si>
  <si>
    <t>Condicion adoptada: 2 años de gracia de capital y amortizacion en 6 cuotas anuales; tasa base 18% anual.</t>
  </si>
  <si>
    <t>Depreciaciones y Amortizacion</t>
  </si>
  <si>
    <t>ACTIVOS TANGIBLES</t>
  </si>
  <si>
    <t>Activo</t>
  </si>
  <si>
    <t>Valor</t>
  </si>
  <si>
    <t>Vida util</t>
  </si>
  <si>
    <t>Laptops y equipos de prueba</t>
  </si>
  <si>
    <t>Servidor/NAS y red local</t>
  </si>
  <si>
    <t>Herramientas de instalacion y medicion</t>
  </si>
  <si>
    <t>Mobiliario y oficina</t>
  </si>
  <si>
    <t>Depreciacion anual</t>
  </si>
  <si>
    <t>Activo fijo neto</t>
  </si>
  <si>
    <t>ACTIVOS INTANGIBLES Y DIFERIDOS</t>
  </si>
  <si>
    <t>Constitucion y formalizacion</t>
  </si>
  <si>
    <t>Desarrollo base app/API/RAG</t>
  </si>
  <si>
    <t>Documentacion y manuales</t>
  </si>
  <si>
    <t>Marca, preventa y dossier comercial</t>
  </si>
  <si>
    <t>Amortizacion anual</t>
  </si>
  <si>
    <t>Activo intangible neto</t>
  </si>
  <si>
    <t>Plan de Inversion - MuseIQ</t>
  </si>
  <si>
    <t>Monto</t>
  </si>
  <si>
    <t>Criterio</t>
  </si>
  <si>
    <t>Activos tangibles</t>
  </si>
  <si>
    <t>Equipos de prueba, servidor, herramientas y mobiliario</t>
  </si>
  <si>
    <t>Activos intangibles y diferidos</t>
  </si>
  <si>
    <t>Desarrollo base, formalizacion, documentacion y preventa</t>
  </si>
  <si>
    <t>Capital de trabajo inicial</t>
  </si>
  <si>
    <t>Caja de arranque para cubrir descalce de cobros y pagos</t>
  </si>
  <si>
    <t>TOTAL INVERSION</t>
  </si>
  <si>
    <t>Base del flujo de efectivo</t>
  </si>
  <si>
    <t>Fondos propios</t>
  </si>
  <si>
    <t>40% de la inversion</t>
  </si>
  <si>
    <t>Financiamiento</t>
  </si>
  <si>
    <t>60% de la inversion</t>
  </si>
  <si>
    <t>Balance de Apertura</t>
  </si>
  <si>
    <t>Activos</t>
  </si>
  <si>
    <t>Caja y bancos</t>
  </si>
  <si>
    <t>Activo circulante</t>
  </si>
  <si>
    <t>Mobiliario, equipos y herramientas</t>
  </si>
  <si>
    <t>Activo fijo</t>
  </si>
  <si>
    <t>Nominales</t>
  </si>
  <si>
    <t>TOTAL ACTIVOS</t>
  </si>
  <si>
    <t>Pasivos</t>
  </si>
  <si>
    <t>Prestamo bancario</t>
  </si>
  <si>
    <t>Pasivo largo plazo</t>
  </si>
  <si>
    <t>Patrimonio</t>
  </si>
  <si>
    <t>Capital social</t>
  </si>
  <si>
    <t>TOTAL PASIVO Y PATRIMONIO</t>
  </si>
  <si>
    <t>Costo de lo Vendido</t>
  </si>
  <si>
    <t>Inventario inicial</t>
  </si>
  <si>
    <t>+ Costo de produccion</t>
  </si>
  <si>
    <t>- Inventario final</t>
  </si>
  <si>
    <t>Estado de Resultados - MuseIQ</t>
  </si>
  <si>
    <t>Ventas totales</t>
  </si>
  <si>
    <t>Costo de venta</t>
  </si>
  <si>
    <t>Utilidad bruta en ventas</t>
  </si>
  <si>
    <t>Total gastos de operacion</t>
  </si>
  <si>
    <t>Gastos de venta</t>
  </si>
  <si>
    <t>Gastos de administracion</t>
  </si>
  <si>
    <t>Utilidad de operacion</t>
  </si>
  <si>
    <t>Gastos financieros</t>
  </si>
  <si>
    <t>Utilidad antes del I.R.</t>
  </si>
  <si>
    <t>Impuesto a la renta 29.5%</t>
  </si>
  <si>
    <t>Utilidad neta</t>
  </si>
  <si>
    <t>Reserva legal</t>
  </si>
  <si>
    <t>Utilidad a distribuir</t>
  </si>
  <si>
    <t>Presupuesto de Caja - MuseIQ</t>
  </si>
  <si>
    <t>Año 0</t>
  </si>
  <si>
    <t>INGRESOS DE EFECTIVO</t>
  </si>
  <si>
    <t>Ingresos por venta de contado</t>
  </si>
  <si>
    <t>Recuperacion cuentas por cobrar del año</t>
  </si>
  <si>
    <t>Cuentas por cobrar año anterior</t>
  </si>
  <si>
    <t>Total ingresos</t>
  </si>
  <si>
    <t>EGRESOS DE EFECTIVO</t>
  </si>
  <si>
    <t>Compra de activos fijos</t>
  </si>
  <si>
    <t>Activos nominales</t>
  </si>
  <si>
    <t>Planilla de produccion</t>
  </si>
  <si>
    <t>Costos indirectos de fabricacion</t>
  </si>
  <si>
    <t>Compra insumos y servicios directos</t>
  </si>
  <si>
    <t>Impuesto a la renta pagado</t>
  </si>
  <si>
    <t>Pago de intereses</t>
  </si>
  <si>
    <t>Total egresos</t>
  </si>
  <si>
    <t>Flujo de efectivo</t>
  </si>
  <si>
    <t>Saldo inicial</t>
  </si>
  <si>
    <t>Saldo final</t>
  </si>
  <si>
    <t>Nota: si el saldo final es negativo, el proyecto requiere una linea temporal de capital de trabajo; se mantiene visible para no forzar caja perfecta.</t>
  </si>
  <si>
    <t>Balance General Proyectado - MuseIQ</t>
  </si>
  <si>
    <t>ACTIVOS</t>
  </si>
  <si>
    <t>Cuentas por cobrar</t>
  </si>
  <si>
    <t>Total activo circulante</t>
  </si>
  <si>
    <t>PASIVOS</t>
  </si>
  <si>
    <t>Cuentas por pagar</t>
  </si>
  <si>
    <t>Ptmo. corto plazo</t>
  </si>
  <si>
    <t>Impuesto a la renta por pagar</t>
  </si>
  <si>
    <t>Total pasivo circulante</t>
  </si>
  <si>
    <t>Ptmo. largo plazo</t>
  </si>
  <si>
    <t>TOTAL PASIVOS</t>
  </si>
  <si>
    <t>PATRIMONIO</t>
  </si>
  <si>
    <t>Reserva legal acumulada</t>
  </si>
  <si>
    <t>Utilidad acumulada</t>
  </si>
  <si>
    <t>TOTAL PATRIMONIO</t>
  </si>
  <si>
    <t>Diferencia de cuadre referencial</t>
  </si>
  <si>
    <t>Razones Financieras - MuseIQ</t>
  </si>
  <si>
    <t>Indice de solvencia</t>
  </si>
  <si>
    <t>Capital de trabajo neto</t>
  </si>
  <si>
    <t>Prueba del acido</t>
  </si>
  <si>
    <t>Rotacion de cuentas por cobrar</t>
  </si>
  <si>
    <t>Plazo promedio de cobro</t>
  </si>
  <si>
    <t>Rotacion de cuentas por pagar</t>
  </si>
  <si>
    <t>Plazo promedio de pago</t>
  </si>
  <si>
    <t>Razon de endeudamiento</t>
  </si>
  <si>
    <t>Pasivo / Capital</t>
  </si>
  <si>
    <t>Margen bruto</t>
  </si>
  <si>
    <t>Margen operativo</t>
  </si>
  <si>
    <t>Margen neto</t>
  </si>
  <si>
    <t>Rotacion total del activo</t>
  </si>
  <si>
    <t>ROA</t>
  </si>
  <si>
    <t>Cobertura de intereses</t>
  </si>
  <si>
    <t>Comentarios de las Razones Financieras</t>
  </si>
  <si>
    <t>INDICES DE LIQUIDEZ</t>
  </si>
  <si>
    <t>El flujo presenta presion de caja en los primeros años por la demora institucional de cobros. La lectura no debe ocultarse: MuseIQ necesita gestionar capital de trabajo o anticipos contractuales.</t>
  </si>
  <si>
    <t>CAPITAL DE TRABAJO</t>
  </si>
  <si>
    <t>El capital de trabajo negativo inicial es coherente con venta B2B publica o institucional. La caja se recupera cuando crece la cartera recurrente y se reduce la amortizacion de deuda.</t>
  </si>
  <si>
    <t>CUENTAS POR COBRAR</t>
  </si>
  <si>
    <t>La politica considerada combina anticipo, avance y retencion. Aun asi, queda un saldo por cobrar al cierre de cada año, por lo que la cobranza es un riesgo relevante.</t>
  </si>
  <si>
    <t>ENDEUDAMIENTO</t>
  </si>
  <si>
    <t>El proyecto se modela con 60% de financiamiento y dos años de gracia de capital. Esta condicion reduce estrangulamiento inicial pero mantiene gasto financiero real.</t>
  </si>
  <si>
    <t>RENTABILIDAD</t>
  </si>
  <si>
    <t>El margen mejora cuando la base recurrente crece; no se obtiene por venta aislada de beacons sino por implementacion, corpus, soporte, IA y analitica.</t>
  </si>
  <si>
    <t>COBERTURA DE INTERESES</t>
  </si>
  <si>
    <t>Los primeros años son los mas debiles. La cobertura se fortalece despues de consolidar contratos recurrentes y cerrar nuevos museos estandar/avanzados.</t>
  </si>
  <si>
    <t>RIESGO OPERATIVO</t>
  </si>
  <si>
    <t>El uso de IA, voz y soporte debe controlarse con bolsas de consumo y reglas de sobreconsumo; de lo contrario, el margen recurrente se deteriora.</t>
  </si>
  <si>
    <t>Punto de Equilibrio - MuseIQ</t>
  </si>
  <si>
    <t>Costos variables</t>
  </si>
  <si>
    <t>Costos directos</t>
  </si>
  <si>
    <t>Mano de obra directa variable</t>
  </si>
  <si>
    <t>Costos indirectos variables</t>
  </si>
  <si>
    <t>Costos fijos</t>
  </si>
  <si>
    <t>Punto de equilibrio en soles</t>
  </si>
  <si>
    <t>Punto de equilibrio en museos equivalentes</t>
  </si>
  <si>
    <t>Porcentaje de ventas</t>
  </si>
  <si>
    <t>APALANCAMIENTO OPERATIVO</t>
  </si>
  <si>
    <t>Ingresos menos costo variable</t>
  </si>
  <si>
    <t>Resultado antes de estructura fija</t>
  </si>
  <si>
    <t>GAO</t>
  </si>
  <si>
    <t>Flujo Neto de Efectivo - Original</t>
  </si>
  <si>
    <t>DESCRIPCION</t>
  </si>
  <si>
    <t>AÑO 0</t>
  </si>
  <si>
    <t>Inversion</t>
  </si>
  <si>
    <t>Flujo de ingresos</t>
  </si>
  <si>
    <t>Flujo de egresos</t>
  </si>
  <si>
    <t>Mas liquidacion cuentas por cobrar</t>
  </si>
  <si>
    <t>Mas liquidacion inventarios finales</t>
  </si>
  <si>
    <t>Mas valor de salvamento</t>
  </si>
  <si>
    <t>Menos pasivo circulante</t>
  </si>
  <si>
    <t>Flujo Neto de efectivo</t>
  </si>
  <si>
    <t>Costo de Capital, VAN, TIR e IR</t>
  </si>
  <si>
    <t>Monto de la inversion</t>
  </si>
  <si>
    <t>%</t>
  </si>
  <si>
    <t>Costo</t>
  </si>
  <si>
    <t>Costo promedio</t>
  </si>
  <si>
    <t>Costo de capital</t>
  </si>
  <si>
    <t>Inflacion anual</t>
  </si>
  <si>
    <t>Inflacion promedio</t>
  </si>
  <si>
    <t>Riesgo de la inversion</t>
  </si>
  <si>
    <t>Tasa de corte</t>
  </si>
  <si>
    <t>Valor Actual Neto</t>
  </si>
  <si>
    <t>Flujos netos</t>
  </si>
  <si>
    <t>Flujos descontados</t>
  </si>
  <si>
    <t>INVERSION INICIAL</t>
  </si>
  <si>
    <t>FLUJO AÑO 1</t>
  </si>
  <si>
    <t>FLUJO AÑO 2</t>
  </si>
  <si>
    <t>FLUJO AÑO 3</t>
  </si>
  <si>
    <t>FLUJO AÑO 4</t>
  </si>
  <si>
    <t>FLUJO AÑO 5</t>
  </si>
  <si>
    <t>FLUJO AÑO 6</t>
  </si>
  <si>
    <t>FLUJO AÑO 7</t>
  </si>
  <si>
    <t>FLUJO AÑO 8</t>
  </si>
  <si>
    <t>FLUJO AÑO 9</t>
  </si>
  <si>
    <t>FLUJO AÑO 10</t>
  </si>
  <si>
    <t>VAN</t>
  </si>
  <si>
    <t>TIR</t>
  </si>
  <si>
    <t>Indice de rentabilidad</t>
  </si>
  <si>
    <t>Periodo recuperacion descontado</t>
  </si>
  <si>
    <t>Resultado</t>
  </si>
  <si>
    <t>PROYECTO SE ACEPTA</t>
  </si>
  <si>
    <t>Flujo Neto Pesimista - Ingresos -20%</t>
  </si>
  <si>
    <t>Flujo Neto Pesimista - Gastos +10%</t>
  </si>
  <si>
    <t>Flujo Neto Pesimista - Interes 24%</t>
  </si>
  <si>
    <t>Riesgo de no recuperacion de Cuentas por Cobrar</t>
  </si>
  <si>
    <t>RESUMEN DEL RIESGO ADMINISTRATIVO</t>
  </si>
  <si>
    <t>Flujo neto base</t>
  </si>
  <si>
    <t>Flujo neto con gastos administrativos +15%</t>
  </si>
  <si>
    <t>Diferencia</t>
  </si>
  <si>
    <t>VAN escenario administrativo: S/ 103,019</t>
  </si>
  <si>
    <t>Flujo Neto de Efectivo - Optimista</t>
  </si>
  <si>
    <t>Analisis de Precio - MuseIQ</t>
  </si>
  <si>
    <t>Escenario</t>
  </si>
  <si>
    <t>Factor precio</t>
  </si>
  <si>
    <t>Ventas acumuladas</t>
  </si>
  <si>
    <t>IR</t>
  </si>
  <si>
    <t>Precio -15%</t>
  </si>
  <si>
    <t>Precio -10%</t>
  </si>
  <si>
    <t>Precio base</t>
  </si>
  <si>
    <t>Precio +10%</t>
  </si>
  <si>
    <t>Precio +15%</t>
  </si>
  <si>
    <t>Ventas escenario base</t>
  </si>
  <si>
    <t>Ventas precio -10%</t>
  </si>
  <si>
    <t>Flujo Neto - Bajando Precio 10%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</si>
</sst>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S/ #,##0;[Red]-S/ #,##0"/>
    <numFmt numFmtId="167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3D4B5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E9E"/>
        <bgColor indexed="64"/>
      </patternFill>
    </fill>
    <fill>
      <patternFill patternType="solid">
        <fgColor rgb="FF008CC7"/>
        <bgColor indexed="64"/>
      </patternFill>
    </fill>
    <fill>
      <patternFill patternType="solid">
        <fgColor rgb="FF00A6CF"/>
        <bgColor indexed="64"/>
      </patternFill>
    </fill>
    <fill>
      <patternFill patternType="solid">
        <fgColor rgb="FFEAF8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/>
    <xf numFmtId="164" fontId="0" fillId="0" borderId="1" xfId="0" applyNumberFormat="1" applyBorder="1"/>
    <xf numFmtId="165" fontId="1" fillId="3" borderId="1" xfId="0" applyNumberFormat="1" applyFont="1" applyFill="1" applyBorder="1"/>
    <xf numFmtId="166" fontId="1" fillId="3" borderId="1" xfId="0" applyNumberFormat="1" applyFont="1" applyFill="1" applyBorder="1"/>
    <xf numFmtId="166" fontId="0" fillId="0" borderId="1" xfId="0" applyNumberFormat="1" applyBorder="1"/>
    <xf numFmtId="165" fontId="0" fillId="0" borderId="1" xfId="0" applyNumberFormat="1" applyBorder="1"/>
    <xf numFmtId="167" fontId="0" fillId="0" borderId="1" xfId="0" applyNumberFormat="1" applyBorder="1"/>
    <xf numFmtId="0" fontId="0" fillId="0" borderId="1" xfId="0" applyBorder="1" applyAlignment="1">
      <alignment vertical="top" wrapText="1"/>
    </xf>
    <xf numFmtId="0" fontId="2" fillId="0" borderId="0" xfId="0" applyFont="1" applyAlignment="1">
      <alignment wrapText="1"/>
    </xf>
    <xf numFmtId="167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2">
      <c r="A5" s="4" t="s">
        <v>13</v>
      </c>
      <c r="B5" s="5">
        <v>0</v>
      </c>
      <c r="C5" s="5">
        <v>1</v>
      </c>
      <c r="D5" s="5">
        <v>0</v>
      </c>
      <c r="E5" s="5">
        <v>0</v>
      </c>
      <c r="F5" s="5">
        <v>1</v>
      </c>
      <c r="G5" s="5">
        <v>0</v>
      </c>
      <c r="H5" s="5">
        <v>1</v>
      </c>
      <c r="I5" s="5">
        <v>1</v>
      </c>
      <c r="J5" s="5">
        <v>1</v>
      </c>
      <c r="K5" s="5">
        <v>1</v>
      </c>
    </row>
    <row r="6" spans="1:12">
      <c r="A6" s="4" t="s">
        <v>14</v>
      </c>
      <c r="B6" s="5">
        <v>1</v>
      </c>
      <c r="C6" s="5">
        <v>0</v>
      </c>
      <c r="D6" s="5">
        <v>2</v>
      </c>
      <c r="E6" s="5">
        <v>2</v>
      </c>
      <c r="F6" s="5">
        <v>2</v>
      </c>
      <c r="G6" s="5">
        <v>2</v>
      </c>
      <c r="H6" s="5">
        <v>2</v>
      </c>
      <c r="I6" s="5">
        <v>3</v>
      </c>
      <c r="J6" s="5">
        <v>3</v>
      </c>
      <c r="K6" s="5">
        <v>4</v>
      </c>
    </row>
    <row r="7" spans="1:12">
      <c r="A7" s="4" t="s">
        <v>15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1</v>
      </c>
      <c r="H7" s="5">
        <v>1</v>
      </c>
      <c r="I7" s="5">
        <v>0</v>
      </c>
      <c r="J7" s="5">
        <v>1</v>
      </c>
      <c r="K7" s="5">
        <v>0</v>
      </c>
    </row>
    <row r="8" spans="1:12">
      <c r="A8" s="4" t="s">
        <v>16</v>
      </c>
      <c r="B8" s="6">
        <f>SUM(B5,B6,B7)</f>
        <v>2</v>
      </c>
      <c r="C8" s="6">
        <f>SUM(C5,C6,C7)</f>
        <v>1</v>
      </c>
      <c r="D8" s="6">
        <f>SUM(D5,D6,D7)</f>
        <v>2</v>
      </c>
      <c r="E8" s="6">
        <f>SUM(E5,E6,E7)</f>
        <v>2</v>
      </c>
      <c r="F8" s="6">
        <f>SUM(F5,F6,F7)</f>
        <v>3</v>
      </c>
      <c r="G8" s="6">
        <f>SUM(G5,G6,G7)</f>
        <v>3</v>
      </c>
      <c r="H8" s="6">
        <f>SUM(H5,H6,H7)</f>
        <v>4</v>
      </c>
      <c r="I8" s="6">
        <f>SUM(I5,I6,I7)</f>
        <v>4</v>
      </c>
      <c r="J8" s="6">
        <f>SUM(J5,J6,J7)</f>
        <v>5</v>
      </c>
      <c r="K8" s="6">
        <f>SUM(K5,K6,K7)</f>
        <v>5</v>
      </c>
    </row>
    <row r="9" spans="1:12">
      <c r="A9" s="7" t="s">
        <v>17</v>
      </c>
      <c r="B9" s="7">
        <f>(B5*48000+B6*96000+B7*185000)*1.2*B33</f>
        <v>337200.0</v>
      </c>
      <c r="C9" s="7">
        <f>(C5*48000+C6*96000+C7*185000)*1.2*C33</f>
        <v>59328.0</v>
      </c>
      <c r="D9" s="7">
        <f>(D5*48000+D6*96000+D7*185000)*1.2*D33</f>
        <v>244431.36</v>
      </c>
      <c r="E9" s="7">
        <f>(E5*48000+E6*96000+E7*185000)*1.2*E33</f>
        <v>251764.3</v>
      </c>
      <c r="F9" s="7">
        <f>(F5*48000+F6*96000+F7*185000)*1.2*F33</f>
        <v>324146.54</v>
      </c>
      <c r="G9" s="7">
        <f>(G5*48000+G6*96000+G7*185000)*1.2*G33</f>
        <v>527001.49</v>
      </c>
      <c r="H9" s="7">
        <f>(H5*48000+H6*96000+H7*185000)*1.2*H33</f>
        <v>617863.82</v>
      </c>
      <c r="I9" s="7">
        <f>(I5*48000+I6*96000+I7*185000)*1.2*I33</f>
        <v>508014.9</v>
      </c>
      <c r="J9" s="7">
        <f>(J5*48000+J6*96000+J7*185000)*1.2*J33</f>
        <v>819234.5</v>
      </c>
      <c r="K9" s="7">
        <f>(K5*48000+K6*96000+K7*185000)*1.2*K33</f>
        <v>706460.04</v>
      </c>
    </row>
    <row r="10" spans="1:12">
      <c r="A10" s="4" t="s">
        <v>18</v>
      </c>
      <c r="B10" s="8">
        <f>B9*0.08</f>
        <v>26976.0</v>
      </c>
      <c r="C10" s="8">
        <f>C9*0.08</f>
        <v>4746.24</v>
      </c>
      <c r="D10" s="8">
        <f>D9*0.08</f>
        <v>19554.51</v>
      </c>
      <c r="E10" s="8">
        <f>E9*0.08</f>
        <v>20141.14</v>
      </c>
      <c r="F10" s="8">
        <f>F9*0.08</f>
        <v>25931.72</v>
      </c>
      <c r="G10" s="8">
        <f>G9*0.08</f>
        <v>42160.12</v>
      </c>
      <c r="H10" s="8">
        <f>H9*0.08</f>
        <v>49429.11</v>
      </c>
      <c r="I10" s="8">
        <f>I9*0.08</f>
        <v>40641.19</v>
      </c>
      <c r="J10" s="8">
        <f>J9*0.08</f>
        <v>65538.76</v>
      </c>
      <c r="K10" s="8">
        <f>K9*0.08</f>
        <v>56516.8</v>
      </c>
    </row>
    <row r="12" spans="1:12">
      <c r="A12" s="2" t="s">
        <v>19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  <c r="H13" s="3" t="s">
        <v>9</v>
      </c>
      <c r="I13" s="3" t="s">
        <v>10</v>
      </c>
      <c r="J13" s="3" t="s">
        <v>11</v>
      </c>
      <c r="K13" s="3" t="s">
        <v>12</v>
      </c>
    </row>
    <row r="14" spans="1:12">
      <c r="A14" s="4" t="s">
        <v>20</v>
      </c>
      <c r="B14" s="5">
        <f>SUM($B$8:B8)</f>
        <v>2</v>
      </c>
      <c r="C14" s="5">
        <f>SUM($B$8:C8)</f>
        <v>3</v>
      </c>
      <c r="D14" s="5">
        <f>SUM($B$8:D8)</f>
        <v>5</v>
      </c>
      <c r="E14" s="5">
        <f>SUM($B$8:E8)</f>
        <v>7</v>
      </c>
      <c r="F14" s="5">
        <f>SUM($B$8:F8)</f>
        <v>10</v>
      </c>
      <c r="G14" s="5">
        <f>SUM($B$8:G8)</f>
        <v>13</v>
      </c>
      <c r="H14" s="5">
        <f>SUM($B$8:H8)</f>
        <v>17</v>
      </c>
      <c r="I14" s="5">
        <f>SUM($B$8:I8)</f>
        <v>21</v>
      </c>
      <c r="J14" s="5">
        <f>SUM($B$8:J8)</f>
        <v>26</v>
      </c>
      <c r="K14" s="5">
        <f>SUM($B$8:K8)</f>
        <v>31</v>
      </c>
    </row>
    <row r="15" spans="1:12">
      <c r="A15" s="4" t="s">
        <v>21</v>
      </c>
      <c r="B15" s="9">
        <f>B5*0.5</f>
        <v>0.0</v>
      </c>
      <c r="C15" s="9">
        <f>SUM($B$5:B5)+C5*0.5</f>
        <v>0.5</v>
      </c>
      <c r="D15" s="9">
        <f>SUM($B$5:C5)+D5*0.5</f>
        <v>1.0</v>
      </c>
      <c r="E15" s="9">
        <f>SUM($B$5:D5)+E5*0.5</f>
        <v>1.0</v>
      </c>
      <c r="F15" s="9">
        <f>SUM($B$5:E5)+F5*0.5</f>
        <v>1.5</v>
      </c>
      <c r="G15" s="9">
        <f>SUM($B$5:F5)+G5*0.5</f>
        <v>2.0</v>
      </c>
      <c r="H15" s="9">
        <f>SUM($B$5:G5)+H5*0.5</f>
        <v>2.5</v>
      </c>
      <c r="I15" s="9">
        <f>SUM($B$5:H5)+I5*0.5</f>
        <v>3.5</v>
      </c>
      <c r="J15" s="9">
        <f>SUM($B$5:I5)+J5*0.5</f>
        <v>4.5</v>
      </c>
      <c r="K15" s="9">
        <f>SUM($B$5:J5)+K5*0.5</f>
        <v>5.5</v>
      </c>
    </row>
    <row r="16" spans="1:12">
      <c r="A16" s="4" t="s">
        <v>22</v>
      </c>
      <c r="B16" s="9">
        <f>B6*0.5</f>
        <v>0.5</v>
      </c>
      <c r="C16" s="9">
        <f>SUM($B$6:B6)+C6*0.5</f>
        <v>1.0</v>
      </c>
      <c r="D16" s="9">
        <f>SUM($B$6:C6)+D6*0.5</f>
        <v>2.0</v>
      </c>
      <c r="E16" s="9">
        <f>SUM($B$6:D6)+E6*0.5</f>
        <v>4.0</v>
      </c>
      <c r="F16" s="9">
        <f>SUM($B$6:E6)+F6*0.5</f>
        <v>6.0</v>
      </c>
      <c r="G16" s="9">
        <f>SUM($B$6:F6)+G6*0.5</f>
        <v>8.0</v>
      </c>
      <c r="H16" s="9">
        <f>SUM($B$6:G6)+H6*0.5</f>
        <v>10.0</v>
      </c>
      <c r="I16" s="9">
        <f>SUM($B$6:H6)+I6*0.5</f>
        <v>12.5</v>
      </c>
      <c r="J16" s="9">
        <f>SUM($B$6:I6)+J6*0.5</f>
        <v>15.5</v>
      </c>
      <c r="K16" s="9">
        <f>SUM($B$6:J6)+K6*0.5</f>
        <v>19.0</v>
      </c>
    </row>
    <row r="17" spans="1:11">
      <c r="A17" s="4" t="s">
        <v>23</v>
      </c>
      <c r="B17" s="9">
        <f>B7*0.5</f>
        <v>0.5</v>
      </c>
      <c r="C17" s="9">
        <f>SUM($B$7:B7)+C7*0.5</f>
        <v>1.0</v>
      </c>
      <c r="D17" s="9">
        <f>SUM($B$7:C7)+D7*0.5</f>
        <v>1.0</v>
      </c>
      <c r="E17" s="9">
        <f>SUM($B$7:D7)+E7*0.5</f>
        <v>1.0</v>
      </c>
      <c r="F17" s="9">
        <f>SUM($B$7:E7)+F7*0.5</f>
        <v>1.0</v>
      </c>
      <c r="G17" s="9">
        <f>SUM($B$7:F7)+G7*0.5</f>
        <v>1.5</v>
      </c>
      <c r="H17" s="9">
        <f>SUM($B$7:G7)+H7*0.5</f>
        <v>2.5</v>
      </c>
      <c r="I17" s="9">
        <f>SUM($B$7:H7)+I7*0.5</f>
        <v>3.0</v>
      </c>
      <c r="J17" s="9">
        <f>SUM($B$7:I7)+J7*0.5</f>
        <v>3.5</v>
      </c>
      <c r="K17" s="9">
        <f>SUM($B$7:J7)+K7*0.5</f>
        <v>4.0</v>
      </c>
    </row>
    <row r="18" spans="1:11">
      <c r="A18" s="7" t="s">
        <v>24</v>
      </c>
      <c r="B18" s="7">
        <f>(B15*14000+B16*29000+B17*52000)*1.2*B33</f>
        <v>48600.0</v>
      </c>
      <c r="C18" s="7">
        <f>(C15*14000+C16*29000+C17*52000)*1.2*C33</f>
        <v>108768.0</v>
      </c>
      <c r="D18" s="7">
        <f>(D15*14000+D16*29000+D17*52000)*1.2*D33</f>
        <v>157861.92</v>
      </c>
      <c r="E18" s="7">
        <f>(E15*14000+E16*29000+E17*52000)*1.2*E33</f>
        <v>238651.58</v>
      </c>
      <c r="F18" s="7">
        <f>(F15*14000+F16*29000+F17*52000)*1.2*F33</f>
        <v>333600.81</v>
      </c>
      <c r="G18" s="7">
        <f>(G15*14000+G16*29000+G17*52000)*1.2*G33</f>
        <v>472484.1</v>
      </c>
      <c r="H18" s="7">
        <f>(H15*14000+H16*29000+H17*52000)*1.2*H33</f>
        <v>661477.73</v>
      </c>
      <c r="I18" s="7">
        <f>(I15*14000+I16*29000+I17*52000)*1.2*I33</f>
        <v>858031.12</v>
      </c>
      <c r="J18" s="7">
        <f>(J15*14000+J16*29000+J17*52000)*1.2*J33</f>
        <v>1092050.6</v>
      </c>
      <c r="K18" s="7">
        <f>(K15*14000+K16*29000+K17*52000)*1.2*K33</f>
        <v>1367130.99</v>
      </c>
    </row>
    <row r="19" spans="1:11">
      <c r="A19" s="7" t="s">
        <v>25</v>
      </c>
      <c r="B19" s="7">
        <f>SUM(B9,B10,B18)</f>
        <v>412776.0</v>
      </c>
      <c r="C19" s="7">
        <f>SUM(C9,C10,C18)</f>
        <v>172842.24</v>
      </c>
      <c r="D19" s="7">
        <f>SUM(D9,D10,D18)</f>
        <v>421847.79</v>
      </c>
      <c r="E19" s="7">
        <f>SUM(E9,E10,E18)</f>
        <v>510557.02</v>
      </c>
      <c r="F19" s="7">
        <f>SUM(F9,F10,F18)</f>
        <v>683679.07</v>
      </c>
      <c r="G19" s="7">
        <f>SUM(G9,G10,G18)</f>
        <v>1041645.71</v>
      </c>
      <c r="H19" s="7">
        <f>SUM(H9,H10,H18)</f>
        <v>1328770.66</v>
      </c>
      <c r="I19" s="7">
        <f>SUM(I9,I10,I18)</f>
        <v>1406687.21</v>
      </c>
      <c r="J19" s="7">
        <f>SUM(J9,J10,J18)</f>
        <v>1976823.87</v>
      </c>
      <c r="K19" s="7">
        <f>SUM(K9,K10,K18)</f>
        <v>2130107.83</v>
      </c>
    </row>
    <row r="21" spans="1:11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3" t="s">
        <v>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9</v>
      </c>
      <c r="I22" s="3" t="s">
        <v>10</v>
      </c>
      <c r="J22" s="3" t="s">
        <v>11</v>
      </c>
      <c r="K22" s="3" t="s">
        <v>12</v>
      </c>
    </row>
    <row r="23" spans="1:11">
      <c r="A23" s="4" t="s">
        <v>27</v>
      </c>
      <c r="B23" s="8">
        <f>B19*0.4</f>
        <v>165110.4</v>
      </c>
      <c r="C23" s="8">
        <f>C19*0.4</f>
        <v>69136.9</v>
      </c>
      <c r="D23" s="8">
        <f>D19*0.4</f>
        <v>168739.12</v>
      </c>
      <c r="E23" s="8">
        <f>E19*0.4</f>
        <v>204222.81</v>
      </c>
      <c r="F23" s="8">
        <f>F19*0.4</f>
        <v>273471.63</v>
      </c>
      <c r="G23" s="8">
        <f>G19*0.4</f>
        <v>416658.28</v>
      </c>
      <c r="H23" s="8">
        <f>H19*0.4</f>
        <v>531508.26</v>
      </c>
      <c r="I23" s="8">
        <f>I19*0.4</f>
        <v>562674.88</v>
      </c>
      <c r="J23" s="8">
        <f>J19*0.4</f>
        <v>790729.55</v>
      </c>
      <c r="K23" s="8">
        <f>K19*0.4</f>
        <v>852043.13</v>
      </c>
    </row>
    <row r="24" spans="1:11">
      <c r="A24" s="4" t="s">
        <v>28</v>
      </c>
      <c r="B24" s="8">
        <f>B19*0.6</f>
        <v>247665.6</v>
      </c>
      <c r="C24" s="8">
        <f>C19*0.6</f>
        <v>103705.34</v>
      </c>
      <c r="D24" s="8">
        <f>D19*0.6</f>
        <v>253108.67</v>
      </c>
      <c r="E24" s="8">
        <f>E19*0.6</f>
        <v>306334.21</v>
      </c>
      <c r="F24" s="8">
        <f>F19*0.6</f>
        <v>410207.44</v>
      </c>
      <c r="G24" s="8">
        <f>G19*0.6</f>
        <v>624987.42</v>
      </c>
      <c r="H24" s="8">
        <f>H19*0.6</f>
        <v>797262.4</v>
      </c>
      <c r="I24" s="8">
        <f>I19*0.6</f>
        <v>844012.33</v>
      </c>
      <c r="J24" s="8">
        <f>J19*0.6</f>
        <v>1186094.32</v>
      </c>
      <c r="K24" s="8">
        <f>K19*0.6</f>
        <v>1278064.7</v>
      </c>
    </row>
    <row r="25" spans="1:11">
      <c r="A25" s="4" t="s">
        <v>29</v>
      </c>
      <c r="B25" s="8">
        <f>B24*0.8*(1-0.0)</f>
        <v>198132.48</v>
      </c>
      <c r="C25" s="8">
        <f>C24*0.8*(1-0.0)</f>
        <v>82964.28</v>
      </c>
      <c r="D25" s="8">
        <f>D24*0.8*(1-0.0)</f>
        <v>202486.94</v>
      </c>
      <c r="E25" s="8">
        <f>E24*0.8*(1-0.0)</f>
        <v>245067.37</v>
      </c>
      <c r="F25" s="8">
        <f>F24*0.8*(1-0.0)</f>
        <v>328165.95</v>
      </c>
      <c r="G25" s="8">
        <f>G24*0.8*(1-0.0)</f>
        <v>499989.94</v>
      </c>
      <c r="H25" s="8">
        <f>H24*0.8*(1-0.0)</f>
        <v>637809.92</v>
      </c>
      <c r="I25" s="8">
        <f>I24*0.8*(1-0.0)</f>
        <v>675209.86</v>
      </c>
      <c r="J25" s="8">
        <f>J24*0.8*(1-0.0)</f>
        <v>948875.46</v>
      </c>
      <c r="K25" s="8">
        <f>K24*0.8*(1-0.0)</f>
        <v>1022451.76</v>
      </c>
    </row>
    <row r="26" spans="1:11">
      <c r="A26" s="4" t="s">
        <v>30</v>
      </c>
      <c r="B26" s="8">
        <f>0</f>
        <v>0.0</v>
      </c>
      <c r="C26" s="8">
        <f>B28*(1-0.0)</f>
        <v>49533.12</v>
      </c>
      <c r="D26" s="8">
        <f>C28*(1-0.0)</f>
        <v>20741.07</v>
      </c>
      <c r="E26" s="8">
        <f>D28*(1-0.0)</f>
        <v>50621.73</v>
      </c>
      <c r="F26" s="8">
        <f>E28*(1-0.0)</f>
        <v>61266.84</v>
      </c>
      <c r="G26" s="8">
        <f>F28*(1-0.0)</f>
        <v>82041.49</v>
      </c>
      <c r="H26" s="8">
        <f>G28*(1-0.0)</f>
        <v>124997.48</v>
      </c>
      <c r="I26" s="8">
        <f>H28*(1-0.0)</f>
        <v>159452.48</v>
      </c>
      <c r="J26" s="8">
        <f>I28*(1-0.0)</f>
        <v>168802.47</v>
      </c>
      <c r="K26" s="8">
        <f>J28*(1-0.0)</f>
        <v>237218.86</v>
      </c>
    </row>
    <row r="27" spans="1:11">
      <c r="A27" s="7" t="s">
        <v>31</v>
      </c>
      <c r="B27" s="7">
        <f>SUM(B23,B25,B26)</f>
        <v>363242.88</v>
      </c>
      <c r="C27" s="7">
        <f>SUM(C23,C25,C26)</f>
        <v>201634.29</v>
      </c>
      <c r="D27" s="7">
        <f>SUM(D23,D25,D26)</f>
        <v>391967.12</v>
      </c>
      <c r="E27" s="7">
        <f>SUM(E23,E25,E26)</f>
        <v>499911.91</v>
      </c>
      <c r="F27" s="7">
        <f>SUM(F23,F25,F26)</f>
        <v>662904.43</v>
      </c>
      <c r="G27" s="7">
        <f>SUM(G23,G25,G26)</f>
        <v>998689.71</v>
      </c>
      <c r="H27" s="7">
        <f>SUM(H23,H25,H26)</f>
        <v>1294315.66</v>
      </c>
      <c r="I27" s="7">
        <f>SUM(I23,I25,I26)</f>
        <v>1397337.23</v>
      </c>
      <c r="J27" s="7">
        <f>SUM(J23,J25,J26)</f>
        <v>1908407.47</v>
      </c>
      <c r="K27" s="7">
        <f>SUM(K23,K25,K26)</f>
        <v>2111713.76</v>
      </c>
    </row>
    <row r="28" spans="1:11">
      <c r="A28" s="4" t="s">
        <v>32</v>
      </c>
      <c r="B28" s="8">
        <f>B24*(1-0.8)</f>
        <v>49533.12</v>
      </c>
      <c r="C28" s="8">
        <f>C24*(1-0.8)</f>
        <v>20741.07</v>
      </c>
      <c r="D28" s="8">
        <f>D24*(1-0.8)</f>
        <v>50621.73</v>
      </c>
      <c r="E28" s="8">
        <f>E24*(1-0.8)</f>
        <v>61266.84</v>
      </c>
      <c r="F28" s="8">
        <f>F24*(1-0.8)</f>
        <v>82041.49</v>
      </c>
      <c r="G28" s="8">
        <f>G24*(1-0.8)</f>
        <v>124997.48</v>
      </c>
      <c r="H28" s="8">
        <f>H24*(1-0.8)</f>
        <v>159452.48</v>
      </c>
      <c r="I28" s="8">
        <f>I24*(1-0.8)</f>
        <v>168802.47</v>
      </c>
      <c r="J28" s="8">
        <f>J24*(1-0.8)</f>
        <v>237218.86</v>
      </c>
      <c r="K28" s="8">
        <f>K24*(1-0.8)</f>
        <v>255612.94</v>
      </c>
    </row>
    <row r="30" spans="1:11">
      <c r="A30" s="2" t="s">
        <v>33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3" t="s">
        <v>2</v>
      </c>
      <c r="B31" s="3" t="s">
        <v>3</v>
      </c>
      <c r="C31" s="3" t="s">
        <v>4</v>
      </c>
      <c r="D31" s="3" t="s">
        <v>5</v>
      </c>
      <c r="E31" s="3" t="s">
        <v>6</v>
      </c>
      <c r="F31" s="3" t="s">
        <v>7</v>
      </c>
      <c r="G31" s="3" t="s">
        <v>8</v>
      </c>
      <c r="H31" s="3" t="s">
        <v>9</v>
      </c>
      <c r="I31" s="3" t="s">
        <v>10</v>
      </c>
      <c r="J31" s="3" t="s">
        <v>11</v>
      </c>
      <c r="K31" s="3" t="s">
        <v>12</v>
      </c>
    </row>
    <row r="32" spans="1:11">
      <c r="A32" s="4" t="s">
        <v>34</v>
      </c>
      <c r="B32" s="10">
        <v>0.03</v>
      </c>
      <c r="C32" s="10">
        <v>0.03</v>
      </c>
      <c r="D32" s="10">
        <v>0.03</v>
      </c>
      <c r="E32" s="10">
        <v>0.03</v>
      </c>
      <c r="F32" s="10">
        <v>0.035</v>
      </c>
      <c r="G32" s="10">
        <v>0.04</v>
      </c>
      <c r="H32" s="10">
        <v>0.04</v>
      </c>
      <c r="I32" s="10">
        <v>0.04</v>
      </c>
      <c r="J32" s="10">
        <v>0.04</v>
      </c>
      <c r="K32" s="10">
        <v>0.04</v>
      </c>
    </row>
    <row r="33" spans="1:11">
      <c r="A33" s="4" t="s">
        <v>35</v>
      </c>
      <c r="B33" s="9">
        <f>1</f>
        <v>1.0</v>
      </c>
      <c r="C33" s="9">
        <f>B33*(1+B32)</f>
        <v>1.03</v>
      </c>
      <c r="D33" s="9">
        <f>C33*(1+C32)</f>
        <v>1.0609</v>
      </c>
      <c r="E33" s="9">
        <f>D33*(1+D32)</f>
        <v>1.092727</v>
      </c>
      <c r="F33" s="9">
        <f>E33*(1+E32)</f>
        <v>1.1255088100000001</v>
      </c>
      <c r="G33" s="9">
        <f>F33*(1+F32)</f>
        <v>1.16490161835</v>
      </c>
      <c r="H33" s="9">
        <f>G33*(1+G32)</f>
        <v>1.211497683084</v>
      </c>
      <c r="I33" s="9">
        <f>H33*(1+H32)</f>
        <v>1.25995759040736</v>
      </c>
      <c r="J33" s="9">
        <f>I33*(1+I32)</f>
        <v>1.3103558940236546</v>
      </c>
      <c r="K33" s="9">
        <f>J33*(1+J32)</f>
        <v>1.3627701297846009</v>
      </c>
    </row>
    <row r="36" spans="1:11">
      <c r="A36" s="3" t="s">
        <v>36</v>
      </c>
      <c r="B36" s="3" t="s">
        <v>37</v>
      </c>
      <c r="C36" s="3" t="s">
        <v>38</v>
      </c>
      <c r="D36" s="3" t="s">
        <v>39</v>
      </c>
      <c r="E36" s="3" t="s">
        <v>40</v>
      </c>
      <c r="F36" s="3" t="s">
        <v>41</v>
      </c>
      <c r="G36" s="3" t="s">
        <v>42</v>
      </c>
    </row>
    <row r="37" spans="1:11">
      <c r="A37" s="4" t="s">
        <v>43</v>
      </c>
      <c r="B37" s="8">
        <v>48000</v>
      </c>
      <c r="C37" s="8">
        <v>57600</v>
      </c>
      <c r="D37" s="8">
        <v>14000</v>
      </c>
      <c r="E37" s="8">
        <v>16800</v>
      </c>
      <c r="F37" s="11" t="s">
        <v>44</v>
      </c>
      <c r="G37" s="11" t="s">
        <v>45</v>
      </c>
    </row>
    <row r="38" spans="1:11">
      <c r="A38" s="4" t="s">
        <v>46</v>
      </c>
      <c r="B38" s="8">
        <v>96000</v>
      </c>
      <c r="C38" s="8">
        <v>115200</v>
      </c>
      <c r="D38" s="8">
        <v>29000</v>
      </c>
      <c r="E38" s="8">
        <v>34800</v>
      </c>
      <c r="F38" s="11" t="s">
        <v>47</v>
      </c>
      <c r="G38" s="11" t="s">
        <v>48</v>
      </c>
    </row>
    <row r="39" spans="1:11">
      <c r="A39" s="4" t="s">
        <v>49</v>
      </c>
      <c r="B39" s="8">
        <v>185000</v>
      </c>
      <c r="C39" s="8">
        <v>222000</v>
      </c>
      <c r="D39" s="8">
        <v>52000</v>
      </c>
      <c r="E39" s="8">
        <v>62400</v>
      </c>
      <c r="F39" s="11" t="s">
        <v>50</v>
      </c>
      <c r="G39" s="11" t="s">
        <v>51</v>
      </c>
    </row>
    <row r="41" spans="1:11">
      <c r="A41" s="12" t="s">
        <v>52</v>
      </c>
    </row>
  </sheetData>
  <mergeCells count="5">
    <mergeCell ref="A1:L1"/>
    <mergeCell ref="A3:K3"/>
    <mergeCell ref="A12:K12"/>
    <mergeCell ref="A21:K21"/>
    <mergeCell ref="A30:K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9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3" width="13.7109375" customWidth="1"/>
  </cols>
  <sheetData>
    <row r="1" spans="1:13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2" t="s">
        <v>54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3">
      <c r="A5" s="4" t="s">
        <v>55</v>
      </c>
      <c r="B5" s="8">
        <v>77000</v>
      </c>
      <c r="C5" s="8">
        <v>12360</v>
      </c>
      <c r="D5" s="8">
        <v>53045</v>
      </c>
      <c r="E5" s="8">
        <v>54636.35</v>
      </c>
      <c r="F5" s="8">
        <v>69781.55</v>
      </c>
      <c r="G5" s="8">
        <v>118819.97</v>
      </c>
      <c r="H5" s="8">
        <v>138110.74</v>
      </c>
      <c r="I5" s="8">
        <v>109616.31</v>
      </c>
      <c r="J5" s="8">
        <v>182139.47</v>
      </c>
      <c r="K5" s="8">
        <v>152630.25</v>
      </c>
    </row>
    <row r="6" spans="1:13">
      <c r="A6" s="4" t="s">
        <v>56</v>
      </c>
      <c r="B6" s="8">
        <v>13250</v>
      </c>
      <c r="C6" s="8">
        <v>29870</v>
      </c>
      <c r="D6" s="8">
        <v>43496.9</v>
      </c>
      <c r="E6" s="8">
        <v>65563.62</v>
      </c>
      <c r="F6" s="8">
        <v>91728.97</v>
      </c>
      <c r="G6" s="8">
        <v>129886.53</v>
      </c>
      <c r="H6" s="8">
        <v>181724.65</v>
      </c>
      <c r="I6" s="8">
        <v>235927.06</v>
      </c>
      <c r="J6" s="8">
        <v>300399.09</v>
      </c>
      <c r="K6" s="8">
        <v>376124.56</v>
      </c>
    </row>
    <row r="7" spans="1:13">
      <c r="A7" s="4" t="s">
        <v>57</v>
      </c>
      <c r="B7" s="8">
        <v>13488</v>
      </c>
      <c r="C7" s="8">
        <v>2373.12</v>
      </c>
      <c r="D7" s="8">
        <v>9777.25</v>
      </c>
      <c r="E7" s="8">
        <v>10070.57</v>
      </c>
      <c r="F7" s="8">
        <v>12965.86</v>
      </c>
      <c r="G7" s="8">
        <v>21080.06</v>
      </c>
      <c r="H7" s="8">
        <v>24714.55</v>
      </c>
      <c r="I7" s="8">
        <v>20320.6</v>
      </c>
      <c r="J7" s="8">
        <v>32769.38</v>
      </c>
      <c r="K7" s="8">
        <v>28258.4</v>
      </c>
    </row>
    <row r="8" spans="1:13">
      <c r="A8" s="7" t="s">
        <v>58</v>
      </c>
      <c r="B8" s="7">
        <f>SUM(B5,B6,B7)</f>
        <v>103738.0</v>
      </c>
      <c r="C8" s="7">
        <f>SUM(C5,C6,C7)</f>
        <v>44603.12</v>
      </c>
      <c r="D8" s="7">
        <f>SUM(D5,D6,D7)</f>
        <v>106319.15</v>
      </c>
      <c r="E8" s="7">
        <f>SUM(E5,E6,E7)</f>
        <v>130270.54</v>
      </c>
      <c r="F8" s="7">
        <f>SUM(F5,F6,F7)</f>
        <v>174476.38</v>
      </c>
      <c r="G8" s="7">
        <f>SUM(G5,G6,G7)</f>
        <v>269786.56</v>
      </c>
      <c r="H8" s="7">
        <f>SUM(H5,H6,H7)</f>
        <v>344549.94</v>
      </c>
      <c r="I8" s="7">
        <f>SUM(I5,I6,I7)</f>
        <v>365863.97</v>
      </c>
      <c r="J8" s="7">
        <f>SUM(J5,J6,J7)</f>
        <v>515307.94</v>
      </c>
      <c r="K8" s="7">
        <f>SUM(K5,K6,K7)</f>
        <v>557013.21</v>
      </c>
    </row>
    <row r="10" spans="1:13">
      <c r="A10" s="2" t="s">
        <v>59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3">
      <c r="A11" s="3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</row>
    <row r="12" spans="1:13">
      <c r="A12" s="4" t="s">
        <v>60</v>
      </c>
      <c r="B12" s="5">
        <v>2</v>
      </c>
      <c r="C12" s="5">
        <v>1</v>
      </c>
      <c r="D12" s="5">
        <v>2</v>
      </c>
      <c r="E12" s="5">
        <v>2</v>
      </c>
      <c r="F12" s="5">
        <v>3</v>
      </c>
      <c r="G12" s="5">
        <v>3</v>
      </c>
      <c r="H12" s="5">
        <v>4</v>
      </c>
      <c r="I12" s="5">
        <v>4</v>
      </c>
      <c r="J12" s="5">
        <v>5</v>
      </c>
      <c r="K12" s="5">
        <v>5</v>
      </c>
    </row>
    <row r="13" spans="1:13">
      <c r="A13" s="4" t="s">
        <v>20</v>
      </c>
      <c r="B13" s="5">
        <v>2</v>
      </c>
      <c r="C13" s="5">
        <v>3</v>
      </c>
      <c r="D13" s="5">
        <v>5</v>
      </c>
      <c r="E13" s="5">
        <v>7</v>
      </c>
      <c r="F13" s="5">
        <v>10</v>
      </c>
      <c r="G13" s="5">
        <v>13</v>
      </c>
      <c r="H13" s="5">
        <v>17</v>
      </c>
      <c r="I13" s="5">
        <v>21</v>
      </c>
      <c r="J13" s="5">
        <v>26</v>
      </c>
      <c r="K13" s="5">
        <v>31</v>
      </c>
    </row>
    <row r="14" spans="1:13">
      <c r="A14" s="4" t="s">
        <v>61</v>
      </c>
      <c r="B14" s="9">
        <v>1</v>
      </c>
      <c r="C14" s="9">
        <v>2.5</v>
      </c>
      <c r="D14" s="9">
        <v>4</v>
      </c>
      <c r="E14" s="9">
        <v>6</v>
      </c>
      <c r="F14" s="9">
        <v>8.5</v>
      </c>
      <c r="G14" s="9">
        <v>11.5</v>
      </c>
      <c r="H14" s="9">
        <v>15</v>
      </c>
      <c r="I14" s="9">
        <v>19</v>
      </c>
      <c r="J14" s="9">
        <v>23.5</v>
      </c>
      <c r="K14" s="9">
        <v>28.5</v>
      </c>
    </row>
    <row r="16" spans="1:13">
      <c r="A16" s="2" t="s">
        <v>62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  <c r="H17" s="3" t="s">
        <v>9</v>
      </c>
      <c r="I17" s="3" t="s">
        <v>10</v>
      </c>
      <c r="J17" s="3" t="s">
        <v>11</v>
      </c>
      <c r="K17" s="3" t="s">
        <v>12</v>
      </c>
    </row>
    <row r="18" spans="1:11">
      <c r="A18" s="4" t="s">
        <v>63</v>
      </c>
      <c r="B18" s="8">
        <f>B8*0.3</f>
        <v>31121.4</v>
      </c>
      <c r="C18" s="8">
        <f>C8*0.3</f>
        <v>13380.94</v>
      </c>
      <c r="D18" s="8">
        <f>D8*0.3</f>
        <v>31895.75</v>
      </c>
      <c r="E18" s="8">
        <f>E8*0.3</f>
        <v>39081.16</v>
      </c>
      <c r="F18" s="8">
        <f>F8*0.3</f>
        <v>52342.91</v>
      </c>
      <c r="G18" s="8">
        <f>G8*0.3</f>
        <v>80935.97</v>
      </c>
      <c r="H18" s="8">
        <f>H8*0.3</f>
        <v>103364.98</v>
      </c>
      <c r="I18" s="8">
        <f>I8*0.3</f>
        <v>109759.19</v>
      </c>
      <c r="J18" s="8">
        <f>J8*0.3</f>
        <v>154592.38</v>
      </c>
      <c r="K18" s="8">
        <f>K8*0.3</f>
        <v>167103.96</v>
      </c>
    </row>
    <row r="19" spans="1:11">
      <c r="A19" s="4" t="s">
        <v>64</v>
      </c>
      <c r="B19" s="8">
        <f>B8*0.7</f>
        <v>72616.6</v>
      </c>
      <c r="C19" s="8">
        <f>C8*0.7</f>
        <v>31222.18</v>
      </c>
      <c r="D19" s="8">
        <f>D8*0.7</f>
        <v>74423.41</v>
      </c>
      <c r="E19" s="8">
        <f>E8*0.7</f>
        <v>91189.38</v>
      </c>
      <c r="F19" s="8">
        <f>F8*0.7</f>
        <v>122133.46</v>
      </c>
      <c r="G19" s="8">
        <f>G8*0.7</f>
        <v>188850.59</v>
      </c>
      <c r="H19" s="8">
        <f>H8*0.7</f>
        <v>241184.96</v>
      </c>
      <c r="I19" s="8">
        <f>I8*0.7</f>
        <v>256104.78</v>
      </c>
      <c r="J19" s="8">
        <f>J8*0.7</f>
        <v>360715.56</v>
      </c>
      <c r="K19" s="8">
        <f>K8*0.7</f>
        <v>389909.25</v>
      </c>
    </row>
    <row r="20" spans="1:11">
      <c r="A20" s="4" t="s">
        <v>65</v>
      </c>
      <c r="B20" s="8">
        <f>B19*0.85</f>
        <v>61724.11</v>
      </c>
      <c r="C20" s="8">
        <f>C19*0.85</f>
        <v>26538.86</v>
      </c>
      <c r="D20" s="8">
        <f>D19*0.85</f>
        <v>63259.9</v>
      </c>
      <c r="E20" s="8">
        <f>E19*0.85</f>
        <v>77510.97</v>
      </c>
      <c r="F20" s="8">
        <f>F19*0.85</f>
        <v>103813.44</v>
      </c>
      <c r="G20" s="8">
        <f>G19*0.85</f>
        <v>160523.0</v>
      </c>
      <c r="H20" s="8">
        <f>H19*0.85</f>
        <v>205007.21</v>
      </c>
      <c r="I20" s="8">
        <f>I19*0.85</f>
        <v>217689.06</v>
      </c>
      <c r="J20" s="8">
        <f>J19*0.85</f>
        <v>306608.22</v>
      </c>
      <c r="K20" s="8">
        <f>K19*0.85</f>
        <v>331422.86</v>
      </c>
    </row>
    <row r="21" spans="1:11">
      <c r="A21" s="4" t="s">
        <v>66</v>
      </c>
      <c r="B21" s="8">
        <f>0</f>
        <v>0.0</v>
      </c>
      <c r="C21" s="8">
        <f>B23</f>
        <v>10892.49</v>
      </c>
      <c r="D21" s="8">
        <f>C23</f>
        <v>4683.33</v>
      </c>
      <c r="E21" s="8">
        <f>D23</f>
        <v>11163.51</v>
      </c>
      <c r="F21" s="8">
        <f>E23</f>
        <v>13678.41</v>
      </c>
      <c r="G21" s="8">
        <f>F23</f>
        <v>18320.02</v>
      </c>
      <c r="H21" s="8">
        <f>G23</f>
        <v>28327.59</v>
      </c>
      <c r="I21" s="8">
        <f>H23</f>
        <v>36177.74</v>
      </c>
      <c r="J21" s="8">
        <f>I23</f>
        <v>38415.72</v>
      </c>
      <c r="K21" s="8">
        <f>J23</f>
        <v>54107.33</v>
      </c>
    </row>
    <row r="22" spans="1:11">
      <c r="A22" s="7" t="s">
        <v>67</v>
      </c>
      <c r="B22" s="7">
        <f>SUM(B18,B20,B21)</f>
        <v>92845.51</v>
      </c>
      <c r="C22" s="7">
        <f>SUM(C18,C20,C21)</f>
        <v>50812.28</v>
      </c>
      <c r="D22" s="7">
        <f>SUM(D18,D20,D21)</f>
        <v>99838.97</v>
      </c>
      <c r="E22" s="7">
        <f>SUM(E18,E20,E21)</f>
        <v>127755.65</v>
      </c>
      <c r="F22" s="7">
        <f>SUM(F18,F20,F21)</f>
        <v>169834.76</v>
      </c>
      <c r="G22" s="7">
        <f>SUM(G18,G20,G21)</f>
        <v>259778.99</v>
      </c>
      <c r="H22" s="7">
        <f>SUM(H18,H20,H21)</f>
        <v>336699.79</v>
      </c>
      <c r="I22" s="7">
        <f>SUM(I18,I20,I21)</f>
        <v>363625.99</v>
      </c>
      <c r="J22" s="7">
        <f>SUM(J18,J20,J21)</f>
        <v>499616.32</v>
      </c>
      <c r="K22" s="7">
        <f>SUM(K18,K20,K21)</f>
        <v>552634.16</v>
      </c>
    </row>
    <row r="23" spans="1:11">
      <c r="A23" s="4" t="s">
        <v>68</v>
      </c>
      <c r="B23" s="8">
        <f>B19*(1-0.85)</f>
        <v>10892.49</v>
      </c>
      <c r="C23" s="8">
        <f>C19*(1-0.85)</f>
        <v>4683.33</v>
      </c>
      <c r="D23" s="8">
        <f>D19*(1-0.85)</f>
        <v>11163.51</v>
      </c>
      <c r="E23" s="8">
        <f>E19*(1-0.85)</f>
        <v>13678.41</v>
      </c>
      <c r="F23" s="8">
        <f>F19*(1-0.85)</f>
        <v>18320.02</v>
      </c>
      <c r="G23" s="8">
        <f>G19*(1-0.85)</f>
        <v>28327.59</v>
      </c>
      <c r="H23" s="8">
        <f>H19*(1-0.85)</f>
        <v>36177.74</v>
      </c>
      <c r="I23" s="8">
        <f>I19*(1-0.85)</f>
        <v>38415.72</v>
      </c>
      <c r="J23" s="8">
        <f>J19*(1-0.85)</f>
        <v>54107.33</v>
      </c>
      <c r="K23" s="8">
        <f>K19*(1-0.85)</f>
        <v>58486.39</v>
      </c>
    </row>
    <row r="25" spans="1:11">
      <c r="A25" s="2" t="s">
        <v>69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  <c r="H26" s="3" t="s">
        <v>9</v>
      </c>
      <c r="I26" s="3" t="s">
        <v>10</v>
      </c>
      <c r="J26" s="3" t="s">
        <v>11</v>
      </c>
      <c r="K26" s="3" t="s">
        <v>12</v>
      </c>
    </row>
    <row r="27" spans="1:11">
      <c r="A27" s="4" t="s">
        <v>70</v>
      </c>
      <c r="B27" s="8">
        <v>20000</v>
      </c>
      <c r="C27" s="8">
        <v>20800</v>
      </c>
      <c r="D27" s="8">
        <v>21632</v>
      </c>
      <c r="E27" s="8">
        <v>22497.28</v>
      </c>
      <c r="F27" s="8">
        <v>23397.17</v>
      </c>
      <c r="G27" s="8">
        <v>24333.06</v>
      </c>
      <c r="H27" s="8">
        <v>25306.38</v>
      </c>
      <c r="I27" s="8">
        <v>26318.64</v>
      </c>
      <c r="J27" s="8">
        <v>27371.38</v>
      </c>
      <c r="K27" s="8">
        <v>28466.24</v>
      </c>
    </row>
    <row r="28" spans="1:11">
      <c r="A28" s="4" t="s">
        <v>71</v>
      </c>
      <c r="B28" s="8">
        <v>0</v>
      </c>
      <c r="C28" s="8">
        <v>9000</v>
      </c>
      <c r="D28" s="8">
        <v>9360</v>
      </c>
      <c r="E28" s="8">
        <v>9734.4</v>
      </c>
      <c r="F28" s="8">
        <v>10123.78</v>
      </c>
      <c r="G28" s="8">
        <v>10528.73</v>
      </c>
      <c r="H28" s="8">
        <v>10949.88</v>
      </c>
      <c r="I28" s="8">
        <v>11387.87</v>
      </c>
      <c r="J28" s="8">
        <v>11843.39</v>
      </c>
      <c r="K28" s="8">
        <v>12317.12</v>
      </c>
    </row>
    <row r="29" spans="1:11">
      <c r="A29" s="4" t="s">
        <v>72</v>
      </c>
      <c r="B29" s="8">
        <v>3800</v>
      </c>
      <c r="C29" s="8">
        <v>3952</v>
      </c>
      <c r="D29" s="8">
        <v>4110.08</v>
      </c>
      <c r="E29" s="8">
        <v>4274.48</v>
      </c>
      <c r="F29" s="8">
        <v>4445.46</v>
      </c>
      <c r="G29" s="8">
        <v>4623.28</v>
      </c>
      <c r="H29" s="8">
        <v>4808.21</v>
      </c>
      <c r="I29" s="8">
        <v>5000.54</v>
      </c>
      <c r="J29" s="8">
        <v>5200.56</v>
      </c>
      <c r="K29" s="8">
        <v>5408.58</v>
      </c>
    </row>
    <row r="30" spans="1:11">
      <c r="A30" s="4" t="s">
        <v>73</v>
      </c>
      <c r="B30" s="8">
        <v>4500</v>
      </c>
      <c r="C30" s="8">
        <v>4680</v>
      </c>
      <c r="D30" s="8">
        <v>4867.2</v>
      </c>
      <c r="E30" s="8">
        <v>5061.89</v>
      </c>
      <c r="F30" s="8">
        <v>5264.36</v>
      </c>
      <c r="G30" s="8">
        <v>5474.94</v>
      </c>
      <c r="H30" s="8">
        <v>5693.94</v>
      </c>
      <c r="I30" s="8">
        <v>5921.69</v>
      </c>
      <c r="J30" s="8">
        <v>6158.56</v>
      </c>
      <c r="K30" s="8">
        <v>6404.9</v>
      </c>
    </row>
    <row r="31" spans="1:11">
      <c r="A31" s="4" t="s">
        <v>74</v>
      </c>
      <c r="B31" s="8">
        <v>14520</v>
      </c>
      <c r="C31" s="8">
        <v>14520</v>
      </c>
      <c r="D31" s="8">
        <v>14520</v>
      </c>
      <c r="E31" s="8">
        <v>14520</v>
      </c>
      <c r="F31" s="8">
        <v>7320</v>
      </c>
      <c r="G31" s="8">
        <v>1080</v>
      </c>
      <c r="H31" s="8">
        <v>1080</v>
      </c>
      <c r="I31" s="8">
        <v>1080</v>
      </c>
      <c r="J31" s="8">
        <v>1080</v>
      </c>
      <c r="K31" s="8">
        <v>1080</v>
      </c>
    </row>
    <row r="32" spans="1:11">
      <c r="A32" s="7" t="s">
        <v>75</v>
      </c>
      <c r="B32" s="7">
        <f>SUM(B27,B28,B29,B30,B31)</f>
        <v>42820.0</v>
      </c>
      <c r="C32" s="7">
        <f>SUM(C27,C28,C29,C30,C31)</f>
        <v>52952.0</v>
      </c>
      <c r="D32" s="7">
        <f>SUM(D27,D28,D29,D30,D31)</f>
        <v>54489.28</v>
      </c>
      <c r="E32" s="7">
        <f>SUM(E27,E28,E29,E30,E31)</f>
        <v>56088.05</v>
      </c>
      <c r="F32" s="7">
        <f>SUM(F27,F28,F29,F30,F31)</f>
        <v>50550.77</v>
      </c>
      <c r="G32" s="7">
        <f>SUM(G27,G28,G29,G30,G31)</f>
        <v>46040.0</v>
      </c>
      <c r="H32" s="7">
        <f>SUM(H27,H28,H29,H30,H31)</f>
        <v>47838.4</v>
      </c>
      <c r="I32" s="7">
        <f>SUM(I27,I28,I29,I30,I31)</f>
        <v>49708.74</v>
      </c>
      <c r="J32" s="7">
        <f>SUM(J27,J28,J29,J30,J31)</f>
        <v>51653.89</v>
      </c>
      <c r="K32" s="7">
        <f>SUM(K27,K28,K29,K30,K31)</f>
        <v>53676.85</v>
      </c>
    </row>
    <row r="35" spans="1:5">
      <c r="A35" s="2" t="s">
        <v>76</v>
      </c>
      <c r="B35" s="3" t="s">
        <v>77</v>
      </c>
      <c r="C35" s="3" t="s">
        <v>78</v>
      </c>
      <c r="D35" s="3" t="s">
        <v>79</v>
      </c>
      <c r="E35" s="3" t="s">
        <v>80</v>
      </c>
    </row>
    <row r="36" spans="1:5">
      <c r="A36" s="4" t="s">
        <v>81</v>
      </c>
      <c r="B36" s="11" t="s">
        <v>82</v>
      </c>
      <c r="C36" s="10">
        <v>0.65</v>
      </c>
      <c r="D36" s="10">
        <v>0.1</v>
      </c>
      <c r="E36" s="10">
        <v>0.25</v>
      </c>
    </row>
    <row r="37" spans="1:5">
      <c r="A37" s="4" t="s">
        <v>83</v>
      </c>
      <c r="B37" s="11" t="s">
        <v>84</v>
      </c>
      <c r="C37" s="10">
        <v>0.8</v>
      </c>
      <c r="D37" s="10">
        <v>0</v>
      </c>
      <c r="E37" s="10">
        <v>0.2</v>
      </c>
    </row>
    <row r="38" spans="1:5">
      <c r="A38" s="4" t="s">
        <v>85</v>
      </c>
      <c r="B38" s="11" t="s">
        <v>86</v>
      </c>
      <c r="C38" s="10">
        <v>0.7</v>
      </c>
      <c r="D38" s="10">
        <v>0.1</v>
      </c>
      <c r="E38" s="10">
        <v>0.2</v>
      </c>
    </row>
    <row r="39" spans="1:5">
      <c r="A39" s="4" t="s">
        <v>87</v>
      </c>
      <c r="B39" s="11" t="s">
        <v>84</v>
      </c>
      <c r="C39" s="10">
        <v>0.6</v>
      </c>
      <c r="D39" s="10">
        <v>0.2</v>
      </c>
      <c r="E39" s="10">
        <v>0.2</v>
      </c>
    </row>
  </sheetData>
  <mergeCells count="5">
    <mergeCell ref="A1:M1"/>
    <mergeCell ref="A3:K3"/>
    <mergeCell ref="A10:K10"/>
    <mergeCell ref="A16:K16"/>
    <mergeCell ref="A25:K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2">
      <c r="A5" s="4" t="s">
        <v>89</v>
      </c>
      <c r="B5" s="8">
        <v>103738</v>
      </c>
      <c r="C5" s="8">
        <v>44603.12</v>
      </c>
      <c r="D5" s="8">
        <v>106319.15</v>
      </c>
      <c r="E5" s="8">
        <v>130270.54</v>
      </c>
      <c r="F5" s="8">
        <v>174476.38</v>
      </c>
      <c r="G5" s="8">
        <v>269786.56</v>
      </c>
      <c r="H5" s="8">
        <v>344549.94</v>
      </c>
      <c r="I5" s="8">
        <v>365863.97</v>
      </c>
      <c r="J5" s="8">
        <v>515307.94</v>
      </c>
      <c r="K5" s="8">
        <v>557013.21</v>
      </c>
    </row>
    <row r="6" spans="1:12">
      <c r="A6" s="4" t="s">
        <v>90</v>
      </c>
      <c r="B6" s="8">
        <v>68068.89</v>
      </c>
      <c r="C6" s="8">
        <v>103034.81</v>
      </c>
      <c r="D6" s="8">
        <v>128651.64</v>
      </c>
      <c r="E6" s="8">
        <v>133797.71</v>
      </c>
      <c r="F6" s="8">
        <v>139149.62</v>
      </c>
      <c r="G6" s="8">
        <v>168002.33</v>
      </c>
      <c r="H6" s="8">
        <v>174722.42</v>
      </c>
      <c r="I6" s="8">
        <v>208580.62</v>
      </c>
      <c r="J6" s="8">
        <v>216923.84</v>
      </c>
      <c r="K6" s="8">
        <v>225600.79</v>
      </c>
    </row>
    <row r="7" spans="1:12">
      <c r="A7" s="4" t="s">
        <v>91</v>
      </c>
      <c r="B7" s="8">
        <v>42820</v>
      </c>
      <c r="C7" s="8">
        <v>52952</v>
      </c>
      <c r="D7" s="8">
        <v>54489.28</v>
      </c>
      <c r="E7" s="8">
        <v>56088.05</v>
      </c>
      <c r="F7" s="8">
        <v>50550.77</v>
      </c>
      <c r="G7" s="8">
        <v>46040</v>
      </c>
      <c r="H7" s="8">
        <v>47838.4</v>
      </c>
      <c r="I7" s="8">
        <v>49708.74</v>
      </c>
      <c r="J7" s="8">
        <v>51653.89</v>
      </c>
      <c r="K7" s="8">
        <v>53676.85</v>
      </c>
    </row>
    <row r="8" spans="1:12">
      <c r="A8" s="7" t="s">
        <v>92</v>
      </c>
      <c r="B8" s="7">
        <f>SUM(B5,B6,B7)</f>
        <v>214626.89</v>
      </c>
      <c r="C8" s="7">
        <f>SUM(C5,C6,C7)</f>
        <v>200589.93</v>
      </c>
      <c r="D8" s="7">
        <f>SUM(D5,D6,D7)</f>
        <v>289460.08</v>
      </c>
      <c r="E8" s="7">
        <f>SUM(E5,E6,E7)</f>
        <v>320156.3</v>
      </c>
      <c r="F8" s="7">
        <f>SUM(F5,F6,F7)</f>
        <v>364176.76</v>
      </c>
      <c r="G8" s="7">
        <f>SUM(G5,G6,G7)</f>
        <v>483828.89</v>
      </c>
      <c r="H8" s="7">
        <f>SUM(H5,H6,H7)</f>
        <v>567110.77</v>
      </c>
      <c r="I8" s="7">
        <f>SUM(I5,I6,I7)</f>
        <v>624153.32</v>
      </c>
      <c r="J8" s="7">
        <f>SUM(J5,J6,J7)</f>
        <v>783885.67</v>
      </c>
      <c r="K8" s="7">
        <f>SUM(K5,K6,K7)</f>
        <v>836290.85</v>
      </c>
    </row>
    <row r="9" spans="1:12">
      <c r="A9" s="4" t="s">
        <v>93</v>
      </c>
      <c r="B9" s="8">
        <f>B8/MAX(1,'COSTOS'!B12+'COSTOS'!B14)</f>
        <v>71542.3</v>
      </c>
      <c r="C9" s="8">
        <f>C8/MAX(1,'COSTOS'!C12+'COSTOS'!C14)</f>
        <v>57311.41</v>
      </c>
      <c r="D9" s="8">
        <f>D8/MAX(1,'COSTOS'!D12+'COSTOS'!D14)</f>
        <v>48243.35</v>
      </c>
      <c r="E9" s="8">
        <f>E8/MAX(1,'COSTOS'!E12+'COSTOS'!E14)</f>
        <v>40019.54</v>
      </c>
      <c r="F9" s="8">
        <f>F8/MAX(1,'COSTOS'!F12+'COSTOS'!F14)</f>
        <v>31667.54</v>
      </c>
      <c r="G9" s="8">
        <f>G8/MAX(1,'COSTOS'!G12+'COSTOS'!G14)</f>
        <v>33367.51</v>
      </c>
      <c r="H9" s="8">
        <f>H8/MAX(1,'COSTOS'!H12+'COSTOS'!H14)</f>
        <v>29847.94</v>
      </c>
      <c r="I9" s="8">
        <f>I8/MAX(1,'COSTOS'!I12+'COSTOS'!I14)</f>
        <v>27137.1</v>
      </c>
      <c r="J9" s="8">
        <f>J8/MAX(1,'COSTOS'!J12+'COSTOS'!J14)</f>
        <v>27504.76</v>
      </c>
      <c r="K9" s="8">
        <f>K8/MAX(1,'COSTOS'!K12+'COSTOS'!K14)</f>
        <v>24963.91</v>
      </c>
    </row>
    <row r="11" spans="1:12">
      <c r="A11" s="12" t="s">
        <v>94</v>
      </c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91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96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2">
      <c r="A4" s="3" t="s">
        <v>97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103</v>
      </c>
      <c r="H4" s="3" t="s">
        <v>104</v>
      </c>
      <c r="I4" s="3" t="s">
        <v>105</v>
      </c>
      <c r="J4" s="3" t="s">
        <v>106</v>
      </c>
      <c r="K4" s="3" t="s">
        <v>107</v>
      </c>
    </row>
    <row r="5" spans="1:12">
      <c r="A5" s="2" t="s">
        <v>108</v>
      </c>
    </row>
    <row r="6" spans="1:12">
      <c r="A6" s="4" t="s">
        <v>109</v>
      </c>
      <c r="B6" s="8">
        <v>1800</v>
      </c>
      <c r="C6" s="8">
        <f>B6*12</f>
        <v>21600.0</v>
      </c>
      <c r="D6" s="8">
        <f>B6*2</f>
        <v>3600.0</v>
      </c>
      <c r="E6" s="8">
        <f>C6*9%</f>
        <v>1944.0</v>
      </c>
      <c r="F6" s="8">
        <f>(C6+D6)*8.33%</f>
        <v>2099.16</v>
      </c>
      <c r="G6" s="8">
        <f>B6*0.5</f>
        <v>900.0</v>
      </c>
      <c r="H6" s="8">
        <f>0</f>
        <v>0.0</v>
      </c>
      <c r="I6" s="8">
        <f>B6*14/12</f>
        <v>2100.0</v>
      </c>
      <c r="J6" s="8">
        <f>SUM(D6:I6)</f>
        <v>10643.16</v>
      </c>
      <c r="K6" s="8">
        <f>C6+J6</f>
        <v>32243.16</v>
      </c>
    </row>
    <row r="7" spans="1:12">
      <c r="A7" s="4" t="s">
        <v>110</v>
      </c>
      <c r="B7" s="8">
        <v>900</v>
      </c>
      <c r="C7" s="8">
        <f>B7*12</f>
        <v>10800.0</v>
      </c>
      <c r="D7" s="8">
        <f>B7*2</f>
        <v>1800.0</v>
      </c>
      <c r="E7" s="8">
        <f>C7*9%</f>
        <v>972.0</v>
      </c>
      <c r="F7" s="8">
        <f>(C7+D7)*8.33%</f>
        <v>1049.58</v>
      </c>
      <c r="G7" s="8">
        <f>B7*0.5</f>
        <v>450.0</v>
      </c>
      <c r="H7" s="8">
        <f>0</f>
        <v>0.0</v>
      </c>
      <c r="I7" s="8">
        <f>B7*14/12</f>
        <v>1050.0</v>
      </c>
      <c r="J7" s="8">
        <f>SUM(D7:I7)</f>
        <v>5321.58</v>
      </c>
      <c r="K7" s="8">
        <f>C7+J7</f>
        <v>16121.58</v>
      </c>
    </row>
    <row r="8" spans="1:12">
      <c r="A8" s="7" t="s">
        <v>111</v>
      </c>
      <c r="K8" s="7">
        <f>SUM(K6:K7)</f>
        <v>48364.74</v>
      </c>
    </row>
    <row r="9" spans="1:12">
      <c r="A9" s="2" t="s">
        <v>112</v>
      </c>
    </row>
    <row r="10" spans="1:12">
      <c r="A10" s="4" t="s">
        <v>113</v>
      </c>
      <c r="B10" s="8">
        <v>2500</v>
      </c>
      <c r="C10" s="8">
        <f>B10*12</f>
        <v>30000.0</v>
      </c>
      <c r="D10" s="8">
        <f>B10*2</f>
        <v>5000.0</v>
      </c>
      <c r="E10" s="8">
        <f>C10*9%</f>
        <v>2700.0</v>
      </c>
      <c r="F10" s="8">
        <f>(C10+D10)*8.33%</f>
        <v>2915.5</v>
      </c>
      <c r="G10" s="8">
        <f>B10*0.5</f>
        <v>1250.0</v>
      </c>
      <c r="H10" s="8">
        <f>0</f>
        <v>0.0</v>
      </c>
      <c r="I10" s="8">
        <f>B10*14/12</f>
        <v>2916.67</v>
      </c>
      <c r="J10" s="8">
        <f>SUM(D10:I10)</f>
        <v>14782.17</v>
      </c>
      <c r="K10" s="8">
        <f>C10+J10</f>
        <v>44782.17</v>
      </c>
    </row>
    <row r="11" spans="1:12">
      <c r="A11" s="4" t="s">
        <v>114</v>
      </c>
      <c r="B11" s="8">
        <v>1300</v>
      </c>
      <c r="C11" s="8">
        <f>B11*12</f>
        <v>15600.0</v>
      </c>
      <c r="D11" s="8">
        <f>B11*2</f>
        <v>2600.0</v>
      </c>
      <c r="E11" s="8">
        <f>C11*9%</f>
        <v>1404.0</v>
      </c>
      <c r="F11" s="8">
        <f>(C11+D11)*8.33%</f>
        <v>1516.06</v>
      </c>
      <c r="G11" s="8">
        <f>B11*0.5</f>
        <v>650.0</v>
      </c>
      <c r="H11" s="8">
        <f>0</f>
        <v>0.0</v>
      </c>
      <c r="I11" s="8">
        <f>B11*14/12</f>
        <v>1516.67</v>
      </c>
      <c r="J11" s="8">
        <f>SUM(D11:I11)</f>
        <v>7686.73</v>
      </c>
      <c r="K11" s="8">
        <f>C11+J11</f>
        <v>23286.73</v>
      </c>
    </row>
    <row r="12" spans="1:12">
      <c r="A12" s="7" t="s">
        <v>115</v>
      </c>
      <c r="K12" s="7">
        <f>SUM(K10:K11)</f>
        <v>68068.89</v>
      </c>
    </row>
    <row r="13" spans="1:12">
      <c r="A13" s="2" t="s">
        <v>116</v>
      </c>
    </row>
    <row r="14" spans="1:12">
      <c r="A14" s="4" t="s">
        <v>117</v>
      </c>
      <c r="B14" s="8">
        <v>1700</v>
      </c>
      <c r="C14" s="8">
        <f>B14*12</f>
        <v>20400.0</v>
      </c>
      <c r="D14" s="8">
        <f>B14*2</f>
        <v>3400.0</v>
      </c>
      <c r="E14" s="8">
        <f>C14*9%</f>
        <v>1836.0</v>
      </c>
      <c r="F14" s="8">
        <f>(C14+D14)*8.33%</f>
        <v>1982.54</v>
      </c>
      <c r="G14" s="8">
        <f>B14*0.5</f>
        <v>850.0</v>
      </c>
      <c r="H14" s="8">
        <f>0</f>
        <v>0.0</v>
      </c>
      <c r="I14" s="8">
        <f>B14*14/12</f>
        <v>1983.33</v>
      </c>
      <c r="J14" s="8">
        <f>SUM(D14:I14)</f>
        <v>10051.87</v>
      </c>
      <c r="K14" s="8">
        <f>C14+J14</f>
        <v>30451.87</v>
      </c>
    </row>
    <row r="15" spans="1:12">
      <c r="A15" s="7" t="s">
        <v>118</v>
      </c>
      <c r="K15" s="7">
        <f>SUM(K14:K14)</f>
        <v>30451.87</v>
      </c>
    </row>
    <row r="18" spans="1:11">
      <c r="A18" s="2" t="s">
        <v>119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3" t="s">
        <v>97</v>
      </c>
      <c r="B19" s="3" t="s">
        <v>98</v>
      </c>
      <c r="C19" s="3" t="s">
        <v>99</v>
      </c>
      <c r="D19" s="3" t="s">
        <v>100</v>
      </c>
      <c r="E19" s="3" t="s">
        <v>101</v>
      </c>
      <c r="F19" s="3" t="s">
        <v>102</v>
      </c>
      <c r="G19" s="3" t="s">
        <v>103</v>
      </c>
      <c r="H19" s="3" t="s">
        <v>104</v>
      </c>
      <c r="I19" s="3" t="s">
        <v>105</v>
      </c>
      <c r="J19" s="3" t="s">
        <v>106</v>
      </c>
      <c r="K19" s="3" t="s">
        <v>107</v>
      </c>
    </row>
    <row r="20" spans="1:11">
      <c r="A20" s="2" t="s">
        <v>108</v>
      </c>
    </row>
    <row r="21" spans="1:11">
      <c r="A21" s="4" t="s">
        <v>109</v>
      </c>
      <c r="B21" s="8">
        <v>1872</v>
      </c>
      <c r="C21" s="8">
        <f>B21*12</f>
        <v>22464.0</v>
      </c>
      <c r="D21" s="8">
        <f>B21*2</f>
        <v>3744.0</v>
      </c>
      <c r="E21" s="8">
        <f>C21*9%</f>
        <v>2021.76</v>
      </c>
      <c r="F21" s="8">
        <f>(C21+D21)*8.33%</f>
        <v>2183.13</v>
      </c>
      <c r="G21" s="8">
        <f>B21*0.5</f>
        <v>936.0</v>
      </c>
      <c r="H21" s="8">
        <f>0</f>
        <v>0.0</v>
      </c>
      <c r="I21" s="8">
        <f>B21*14/12</f>
        <v>2184.0</v>
      </c>
      <c r="J21" s="8">
        <f>SUM(D21:I21)</f>
        <v>11068.89</v>
      </c>
      <c r="K21" s="8">
        <f>C21+J21</f>
        <v>33532.89</v>
      </c>
    </row>
    <row r="22" spans="1:11">
      <c r="A22" s="4" t="s">
        <v>110</v>
      </c>
      <c r="B22" s="8">
        <v>936</v>
      </c>
      <c r="C22" s="8">
        <f>B22*12</f>
        <v>11232.0</v>
      </c>
      <c r="D22" s="8">
        <f>B22*2</f>
        <v>1872.0</v>
      </c>
      <c r="E22" s="8">
        <f>C22*9%</f>
        <v>1010.88</v>
      </c>
      <c r="F22" s="8">
        <f>(C22+D22)*8.33%</f>
        <v>1091.56</v>
      </c>
      <c r="G22" s="8">
        <f>B22*0.5</f>
        <v>468.0</v>
      </c>
      <c r="H22" s="8">
        <f>0</f>
        <v>0.0</v>
      </c>
      <c r="I22" s="8">
        <f>B22*14/12</f>
        <v>1092.0</v>
      </c>
      <c r="J22" s="8">
        <f>SUM(D22:I22)</f>
        <v>5534.44</v>
      </c>
      <c r="K22" s="8">
        <f>C22+J22</f>
        <v>16766.44</v>
      </c>
    </row>
    <row r="23" spans="1:11">
      <c r="A23" s="7" t="s">
        <v>111</v>
      </c>
      <c r="K23" s="7">
        <f>SUM(K21:K22)</f>
        <v>50299.33</v>
      </c>
    </row>
    <row r="24" spans="1:11">
      <c r="A24" s="2" t="s">
        <v>112</v>
      </c>
    </row>
    <row r="25" spans="1:11">
      <c r="A25" s="4" t="s">
        <v>113</v>
      </c>
      <c r="B25" s="8">
        <v>2600</v>
      </c>
      <c r="C25" s="8">
        <f>B25*12</f>
        <v>31200.0</v>
      </c>
      <c r="D25" s="8">
        <f>B25*2</f>
        <v>5200.0</v>
      </c>
      <c r="E25" s="8">
        <f>C25*9%</f>
        <v>2808.0</v>
      </c>
      <c r="F25" s="8">
        <f>(C25+D25)*8.33%</f>
        <v>3032.12</v>
      </c>
      <c r="G25" s="8">
        <f>B25*0.5</f>
        <v>1300.0</v>
      </c>
      <c r="H25" s="8">
        <f>0</f>
        <v>0.0</v>
      </c>
      <c r="I25" s="8">
        <f>B25*14/12</f>
        <v>3033.33</v>
      </c>
      <c r="J25" s="8">
        <f>SUM(D25:I25)</f>
        <v>15373.45</v>
      </c>
      <c r="K25" s="8">
        <f>C25+J25</f>
        <v>46573.45</v>
      </c>
    </row>
    <row r="26" spans="1:11">
      <c r="A26" s="4" t="s">
        <v>114</v>
      </c>
      <c r="B26" s="8">
        <v>1352</v>
      </c>
      <c r="C26" s="8">
        <f>B26*12</f>
        <v>16224.0</v>
      </c>
      <c r="D26" s="8">
        <f>B26*2</f>
        <v>2704.0</v>
      </c>
      <c r="E26" s="8">
        <f>C26*9%</f>
        <v>1460.16</v>
      </c>
      <c r="F26" s="8">
        <f>(C26+D26)*8.33%</f>
        <v>1576.7</v>
      </c>
      <c r="G26" s="8">
        <f>B26*0.5</f>
        <v>676.0</v>
      </c>
      <c r="H26" s="8">
        <f>0</f>
        <v>0.0</v>
      </c>
      <c r="I26" s="8">
        <f>B26*14/12</f>
        <v>1577.33</v>
      </c>
      <c r="J26" s="8">
        <f>SUM(D26:I26)</f>
        <v>7994.2</v>
      </c>
      <c r="K26" s="8">
        <f>C26+J26</f>
        <v>24218.2</v>
      </c>
    </row>
    <row r="27" spans="1:11">
      <c r="A27" s="4" t="s">
        <v>120</v>
      </c>
      <c r="B27" s="8">
        <v>1800</v>
      </c>
      <c r="C27" s="8">
        <f>B27*12</f>
        <v>21600.0</v>
      </c>
      <c r="D27" s="8">
        <f>B27*2</f>
        <v>3600.0</v>
      </c>
      <c r="E27" s="8">
        <f>C27*9%</f>
        <v>1944.0</v>
      </c>
      <c r="F27" s="8">
        <f>(C27+D27)*8.33%</f>
        <v>2099.16</v>
      </c>
      <c r="G27" s="8">
        <f>B27*0.5</f>
        <v>900.0</v>
      </c>
      <c r="H27" s="8">
        <f>0</f>
        <v>0.0</v>
      </c>
      <c r="I27" s="8">
        <f>B27*14/12</f>
        <v>2100.0</v>
      </c>
      <c r="J27" s="8">
        <f>SUM(D27:I27)</f>
        <v>10643.16</v>
      </c>
      <c r="K27" s="8">
        <f>C27+J27</f>
        <v>32243.16</v>
      </c>
    </row>
    <row r="28" spans="1:11">
      <c r="A28" s="7" t="s">
        <v>115</v>
      </c>
      <c r="K28" s="7">
        <f>SUM(K25:K27)</f>
        <v>103034.81</v>
      </c>
    </row>
    <row r="29" spans="1:11">
      <c r="A29" s="2" t="s">
        <v>116</v>
      </c>
    </row>
    <row r="30" spans="1:11">
      <c r="A30" s="4" t="s">
        <v>117</v>
      </c>
      <c r="B30" s="8">
        <v>1768</v>
      </c>
      <c r="C30" s="8">
        <f>B30*12</f>
        <v>21216.0</v>
      </c>
      <c r="D30" s="8">
        <f>B30*2</f>
        <v>3536.0</v>
      </c>
      <c r="E30" s="8">
        <f>C30*9%</f>
        <v>1909.44</v>
      </c>
      <c r="F30" s="8">
        <f>(C30+D30)*8.33%</f>
        <v>2061.84</v>
      </c>
      <c r="G30" s="8">
        <f>B30*0.5</f>
        <v>884.0</v>
      </c>
      <c r="H30" s="8">
        <f>0</f>
        <v>0.0</v>
      </c>
      <c r="I30" s="8">
        <f>B30*14/12</f>
        <v>2062.67</v>
      </c>
      <c r="J30" s="8">
        <f>SUM(D30:I30)</f>
        <v>10453.95</v>
      </c>
      <c r="K30" s="8">
        <f>C30+J30</f>
        <v>31669.95</v>
      </c>
    </row>
    <row r="31" spans="1:11">
      <c r="A31" s="7" t="s">
        <v>118</v>
      </c>
      <c r="K31" s="7">
        <f>SUM(K30:K30)</f>
        <v>31669.95</v>
      </c>
    </row>
    <row r="34" spans="1:11">
      <c r="A34" s="2" t="s">
        <v>121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3" t="s">
        <v>97</v>
      </c>
      <c r="B35" s="3" t="s">
        <v>98</v>
      </c>
      <c r="C35" s="3" t="s">
        <v>99</v>
      </c>
      <c r="D35" s="3" t="s">
        <v>100</v>
      </c>
      <c r="E35" s="3" t="s">
        <v>101</v>
      </c>
      <c r="F35" s="3" t="s">
        <v>102</v>
      </c>
      <c r="G35" s="3" t="s">
        <v>103</v>
      </c>
      <c r="H35" s="3" t="s">
        <v>104</v>
      </c>
      <c r="I35" s="3" t="s">
        <v>105</v>
      </c>
      <c r="J35" s="3" t="s">
        <v>106</v>
      </c>
      <c r="K35" s="3" t="s">
        <v>107</v>
      </c>
    </row>
    <row r="36" spans="1:11">
      <c r="A36" s="2" t="s">
        <v>108</v>
      </c>
    </row>
    <row r="37" spans="1:11">
      <c r="A37" s="4" t="s">
        <v>109</v>
      </c>
      <c r="B37" s="8">
        <v>1946.88</v>
      </c>
      <c r="C37" s="8">
        <f>B37*12</f>
        <v>23362.56</v>
      </c>
      <c r="D37" s="8">
        <f>B37*2</f>
        <v>3893.76</v>
      </c>
      <c r="E37" s="8">
        <f>C37*9%</f>
        <v>2102.63</v>
      </c>
      <c r="F37" s="8">
        <f>(C37+D37)*8.33%</f>
        <v>2270.45</v>
      </c>
      <c r="G37" s="8">
        <f>B37*0.5</f>
        <v>973.44</v>
      </c>
      <c r="H37" s="8">
        <f>0</f>
        <v>0.0</v>
      </c>
      <c r="I37" s="8">
        <f>B37*14/12</f>
        <v>2271.36</v>
      </c>
      <c r="J37" s="8">
        <f>SUM(D37:I37)</f>
        <v>11511.64</v>
      </c>
      <c r="K37" s="8">
        <f>C37+J37</f>
        <v>34874.2</v>
      </c>
    </row>
    <row r="38" spans="1:11">
      <c r="A38" s="4" t="s">
        <v>110</v>
      </c>
      <c r="B38" s="8">
        <v>973.4400000000001</v>
      </c>
      <c r="C38" s="8">
        <f>B38*12</f>
        <v>11681.28</v>
      </c>
      <c r="D38" s="8">
        <f>B38*2</f>
        <v>1946.88</v>
      </c>
      <c r="E38" s="8">
        <f>C38*9%</f>
        <v>1051.32</v>
      </c>
      <c r="F38" s="8">
        <f>(C38+D38)*8.33%</f>
        <v>1135.23</v>
      </c>
      <c r="G38" s="8">
        <f>B38*0.5</f>
        <v>486.72</v>
      </c>
      <c r="H38" s="8">
        <f>0</f>
        <v>0.0</v>
      </c>
      <c r="I38" s="8">
        <f>B38*14/12</f>
        <v>1135.68</v>
      </c>
      <c r="J38" s="8">
        <f>SUM(D38:I38)</f>
        <v>5755.82</v>
      </c>
      <c r="K38" s="8">
        <f>C38+J38</f>
        <v>17437.1</v>
      </c>
    </row>
    <row r="39" spans="1:11">
      <c r="A39" s="7" t="s">
        <v>111</v>
      </c>
      <c r="K39" s="7">
        <f>SUM(K37:K38)</f>
        <v>52311.3</v>
      </c>
    </row>
    <row r="40" spans="1:11">
      <c r="A40" s="2" t="s">
        <v>112</v>
      </c>
    </row>
    <row r="41" spans="1:11">
      <c r="A41" s="4" t="s">
        <v>113</v>
      </c>
      <c r="B41" s="8">
        <v>2704</v>
      </c>
      <c r="C41" s="8">
        <f>B41*12</f>
        <v>32448.0</v>
      </c>
      <c r="D41" s="8">
        <f>B41*2</f>
        <v>5408.0</v>
      </c>
      <c r="E41" s="8">
        <f>C41*9%</f>
        <v>2920.32</v>
      </c>
      <c r="F41" s="8">
        <f>(C41+D41)*8.33%</f>
        <v>3153.4</v>
      </c>
      <c r="G41" s="8">
        <f>B41*0.5</f>
        <v>1352.0</v>
      </c>
      <c r="H41" s="8">
        <f>0</f>
        <v>0.0</v>
      </c>
      <c r="I41" s="8">
        <f>B41*14/12</f>
        <v>3154.67</v>
      </c>
      <c r="J41" s="8">
        <f>SUM(D41:I41)</f>
        <v>15988.39</v>
      </c>
      <c r="K41" s="8">
        <f>C41+J41</f>
        <v>48436.39</v>
      </c>
    </row>
    <row r="42" spans="1:11">
      <c r="A42" s="4" t="s">
        <v>114</v>
      </c>
      <c r="B42" s="8">
        <v>1406.08</v>
      </c>
      <c r="C42" s="8">
        <f>B42*12</f>
        <v>16872.96</v>
      </c>
      <c r="D42" s="8">
        <f>B42*2</f>
        <v>2812.16</v>
      </c>
      <c r="E42" s="8">
        <f>C42*9%</f>
        <v>1518.57</v>
      </c>
      <c r="F42" s="8">
        <f>(C42+D42)*8.33%</f>
        <v>1639.77</v>
      </c>
      <c r="G42" s="8">
        <f>B42*0.5</f>
        <v>703.04</v>
      </c>
      <c r="H42" s="8">
        <f>0</f>
        <v>0.0</v>
      </c>
      <c r="I42" s="8">
        <f>B42*14/12</f>
        <v>1640.43</v>
      </c>
      <c r="J42" s="8">
        <f>SUM(D42:I42)</f>
        <v>8313.96</v>
      </c>
      <c r="K42" s="8">
        <f>C42+J42</f>
        <v>25186.92</v>
      </c>
    </row>
    <row r="43" spans="1:11">
      <c r="A43" s="4" t="s">
        <v>120</v>
      </c>
      <c r="B43" s="8">
        <v>1872</v>
      </c>
      <c r="C43" s="8">
        <f>B43*12</f>
        <v>22464.0</v>
      </c>
      <c r="D43" s="8">
        <f>B43*2</f>
        <v>3744.0</v>
      </c>
      <c r="E43" s="8">
        <f>C43*9%</f>
        <v>2021.76</v>
      </c>
      <c r="F43" s="8">
        <f>(C43+D43)*8.33%</f>
        <v>2183.13</v>
      </c>
      <c r="G43" s="8">
        <f>B43*0.5</f>
        <v>936.0</v>
      </c>
      <c r="H43" s="8">
        <f>0</f>
        <v>0.0</v>
      </c>
      <c r="I43" s="8">
        <f>B43*14/12</f>
        <v>2184.0</v>
      </c>
      <c r="J43" s="8">
        <f>SUM(D43:I43)</f>
        <v>11068.89</v>
      </c>
      <c r="K43" s="8">
        <f>C43+J43</f>
        <v>33532.89</v>
      </c>
    </row>
    <row r="44" spans="1:11">
      <c r="A44" s="4" t="s">
        <v>122</v>
      </c>
      <c r="B44" s="8">
        <v>1200</v>
      </c>
      <c r="C44" s="8">
        <f>B44*12</f>
        <v>14400.0</v>
      </c>
      <c r="D44" s="8">
        <f>B44*2</f>
        <v>2400.0</v>
      </c>
      <c r="E44" s="8">
        <f>C44*9%</f>
        <v>1296.0</v>
      </c>
      <c r="F44" s="8">
        <f>(C44+D44)*8.33%</f>
        <v>1399.44</v>
      </c>
      <c r="G44" s="8">
        <f>B44*0.5</f>
        <v>600.0</v>
      </c>
      <c r="H44" s="8">
        <f>0</f>
        <v>0.0</v>
      </c>
      <c r="I44" s="8">
        <f>B44*14/12</f>
        <v>1400.0</v>
      </c>
      <c r="J44" s="8">
        <f>SUM(D44:I44)</f>
        <v>7095.44</v>
      </c>
      <c r="K44" s="8">
        <f>C44+J44</f>
        <v>21495.44</v>
      </c>
    </row>
    <row r="45" spans="1:11">
      <c r="A45" s="7" t="s">
        <v>115</v>
      </c>
      <c r="K45" s="7">
        <f>SUM(K41:K44)</f>
        <v>128651.64</v>
      </c>
    </row>
    <row r="46" spans="1:11">
      <c r="A46" s="2" t="s">
        <v>116</v>
      </c>
    </row>
    <row r="47" spans="1:11">
      <c r="A47" s="4" t="s">
        <v>117</v>
      </c>
      <c r="B47" s="8">
        <v>1838.72</v>
      </c>
      <c r="C47" s="8">
        <f>B47*12</f>
        <v>22064.64</v>
      </c>
      <c r="D47" s="8">
        <f>B47*2</f>
        <v>3677.44</v>
      </c>
      <c r="E47" s="8">
        <f>C47*9%</f>
        <v>1985.82</v>
      </c>
      <c r="F47" s="8">
        <f>(C47+D47)*8.33%</f>
        <v>2144.32</v>
      </c>
      <c r="G47" s="8">
        <f>B47*0.5</f>
        <v>919.36</v>
      </c>
      <c r="H47" s="8">
        <f>0</f>
        <v>0.0</v>
      </c>
      <c r="I47" s="8">
        <f>B47*14/12</f>
        <v>2145.17</v>
      </c>
      <c r="J47" s="8">
        <f>SUM(D47:I47)</f>
        <v>10872.11</v>
      </c>
      <c r="K47" s="8">
        <f>C47+J47</f>
        <v>32936.75</v>
      </c>
    </row>
    <row r="48" spans="1:11">
      <c r="A48" s="7" t="s">
        <v>118</v>
      </c>
      <c r="K48" s="7">
        <f>SUM(K47:K47)</f>
        <v>32936.75</v>
      </c>
    </row>
    <row r="51" spans="1:11">
      <c r="A51" s="2" t="s">
        <v>123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3" t="s">
        <v>97</v>
      </c>
      <c r="B52" s="3" t="s">
        <v>98</v>
      </c>
      <c r="C52" s="3" t="s">
        <v>99</v>
      </c>
      <c r="D52" s="3" t="s">
        <v>100</v>
      </c>
      <c r="E52" s="3" t="s">
        <v>101</v>
      </c>
      <c r="F52" s="3" t="s">
        <v>102</v>
      </c>
      <c r="G52" s="3" t="s">
        <v>103</v>
      </c>
      <c r="H52" s="3" t="s">
        <v>104</v>
      </c>
      <c r="I52" s="3" t="s">
        <v>105</v>
      </c>
      <c r="J52" s="3" t="s">
        <v>106</v>
      </c>
      <c r="K52" s="3" t="s">
        <v>107</v>
      </c>
    </row>
    <row r="53" spans="1:11">
      <c r="A53" s="2" t="s">
        <v>108</v>
      </c>
    </row>
    <row r="54" spans="1:11">
      <c r="A54" s="4" t="s">
        <v>109</v>
      </c>
      <c r="B54" s="8">
        <v>2024.7552</v>
      </c>
      <c r="C54" s="8">
        <f>B54*12</f>
        <v>24297.06</v>
      </c>
      <c r="D54" s="8">
        <f>B54*2</f>
        <v>4049.51</v>
      </c>
      <c r="E54" s="8">
        <f>C54*9%</f>
        <v>2186.74</v>
      </c>
      <c r="F54" s="8">
        <f>(C54+D54)*8.33%</f>
        <v>2361.27</v>
      </c>
      <c r="G54" s="8">
        <f>B54*0.5</f>
        <v>1012.38</v>
      </c>
      <c r="H54" s="8">
        <f>0</f>
        <v>0.0</v>
      </c>
      <c r="I54" s="8">
        <f>B54*14/12</f>
        <v>2362.21</v>
      </c>
      <c r="J54" s="8">
        <f>SUM(D54:I54)</f>
        <v>11972.11</v>
      </c>
      <c r="K54" s="8">
        <f>C54+J54</f>
        <v>36269.17</v>
      </c>
    </row>
    <row r="55" spans="1:11">
      <c r="A55" s="4" t="s">
        <v>110</v>
      </c>
      <c r="B55" s="8">
        <v>1012.3776</v>
      </c>
      <c r="C55" s="8">
        <f>B55*12</f>
        <v>12148.53</v>
      </c>
      <c r="D55" s="8">
        <f>B55*2</f>
        <v>2024.76</v>
      </c>
      <c r="E55" s="8">
        <f>C55*9%</f>
        <v>1093.37</v>
      </c>
      <c r="F55" s="8">
        <f>(C55+D55)*8.33%</f>
        <v>1180.63</v>
      </c>
      <c r="G55" s="8">
        <f>B55*0.5</f>
        <v>506.19</v>
      </c>
      <c r="H55" s="8">
        <f>0</f>
        <v>0.0</v>
      </c>
      <c r="I55" s="8">
        <f>B55*14/12</f>
        <v>1181.11</v>
      </c>
      <c r="J55" s="8">
        <f>SUM(D55:I55)</f>
        <v>5986.05</v>
      </c>
      <c r="K55" s="8">
        <f>C55+J55</f>
        <v>18134.58</v>
      </c>
    </row>
    <row r="56" spans="1:11">
      <c r="A56" s="7" t="s">
        <v>111</v>
      </c>
      <c r="K56" s="7">
        <f>SUM(K54:K55)</f>
        <v>54403.75</v>
      </c>
    </row>
    <row r="57" spans="1:11">
      <c r="A57" s="2" t="s">
        <v>112</v>
      </c>
    </row>
    <row r="58" spans="1:11">
      <c r="A58" s="4" t="s">
        <v>113</v>
      </c>
      <c r="B58" s="8">
        <v>2812.16</v>
      </c>
      <c r="C58" s="8">
        <f>B58*12</f>
        <v>33745.92</v>
      </c>
      <c r="D58" s="8">
        <f>B58*2</f>
        <v>5624.32</v>
      </c>
      <c r="E58" s="8">
        <f>C58*9%</f>
        <v>3037.13</v>
      </c>
      <c r="F58" s="8">
        <f>(C58+D58)*8.33%</f>
        <v>3279.54</v>
      </c>
      <c r="G58" s="8">
        <f>B58*0.5</f>
        <v>1406.08</v>
      </c>
      <c r="H58" s="8">
        <f>0</f>
        <v>0.0</v>
      </c>
      <c r="I58" s="8">
        <f>B58*14/12</f>
        <v>3280.85</v>
      </c>
      <c r="J58" s="8">
        <f>SUM(D58:I58)</f>
        <v>16627.93</v>
      </c>
      <c r="K58" s="8">
        <f>C58+J58</f>
        <v>50373.85</v>
      </c>
    </row>
    <row r="59" spans="1:11">
      <c r="A59" s="4" t="s">
        <v>114</v>
      </c>
      <c r="B59" s="8">
        <v>1462.3232</v>
      </c>
      <c r="C59" s="8">
        <f>B59*12</f>
        <v>17547.88</v>
      </c>
      <c r="D59" s="8">
        <f>B59*2</f>
        <v>2924.65</v>
      </c>
      <c r="E59" s="8">
        <f>C59*9%</f>
        <v>1579.31</v>
      </c>
      <c r="F59" s="8">
        <f>(C59+D59)*8.33%</f>
        <v>1705.36</v>
      </c>
      <c r="G59" s="8">
        <f>B59*0.5</f>
        <v>731.16</v>
      </c>
      <c r="H59" s="8">
        <f>0</f>
        <v>0.0</v>
      </c>
      <c r="I59" s="8">
        <f>B59*14/12</f>
        <v>1706.04</v>
      </c>
      <c r="J59" s="8">
        <f>SUM(D59:I59)</f>
        <v>8646.52</v>
      </c>
      <c r="K59" s="8">
        <f>C59+J59</f>
        <v>26194.4</v>
      </c>
    </row>
    <row r="60" spans="1:11">
      <c r="A60" s="4" t="s">
        <v>120</v>
      </c>
      <c r="B60" s="8">
        <v>1946.88</v>
      </c>
      <c r="C60" s="8">
        <f>B60*12</f>
        <v>23362.56</v>
      </c>
      <c r="D60" s="8">
        <f>B60*2</f>
        <v>3893.76</v>
      </c>
      <c r="E60" s="8">
        <f>C60*9%</f>
        <v>2102.63</v>
      </c>
      <c r="F60" s="8">
        <f>(C60+D60)*8.33%</f>
        <v>2270.45</v>
      </c>
      <c r="G60" s="8">
        <f>B60*0.5</f>
        <v>973.44</v>
      </c>
      <c r="H60" s="8">
        <f>0</f>
        <v>0.0</v>
      </c>
      <c r="I60" s="8">
        <f>B60*14/12</f>
        <v>2271.36</v>
      </c>
      <c r="J60" s="8">
        <f>SUM(D60:I60)</f>
        <v>11511.64</v>
      </c>
      <c r="K60" s="8">
        <f>C60+J60</f>
        <v>34874.2</v>
      </c>
    </row>
    <row r="61" spans="1:11">
      <c r="A61" s="4" t="s">
        <v>122</v>
      </c>
      <c r="B61" s="8">
        <v>1248</v>
      </c>
      <c r="C61" s="8">
        <f>B61*12</f>
        <v>14976.0</v>
      </c>
      <c r="D61" s="8">
        <f>B61*2</f>
        <v>2496.0</v>
      </c>
      <c r="E61" s="8">
        <f>C61*9%</f>
        <v>1347.84</v>
      </c>
      <c r="F61" s="8">
        <f>(C61+D61)*8.33%</f>
        <v>1455.42</v>
      </c>
      <c r="G61" s="8">
        <f>B61*0.5</f>
        <v>624.0</v>
      </c>
      <c r="H61" s="8">
        <f>0</f>
        <v>0.0</v>
      </c>
      <c r="I61" s="8">
        <f>B61*14/12</f>
        <v>1456.0</v>
      </c>
      <c r="J61" s="8">
        <f>SUM(D61:I61)</f>
        <v>7379.26</v>
      </c>
      <c r="K61" s="8">
        <f>C61+J61</f>
        <v>22355.26</v>
      </c>
    </row>
    <row r="62" spans="1:11">
      <c r="A62" s="7" t="s">
        <v>115</v>
      </c>
      <c r="K62" s="7">
        <f>SUM(K58:K61)</f>
        <v>133797.71</v>
      </c>
    </row>
    <row r="63" spans="1:11">
      <c r="A63" s="2" t="s">
        <v>116</v>
      </c>
    </row>
    <row r="64" spans="1:11">
      <c r="A64" s="4" t="s">
        <v>117</v>
      </c>
      <c r="B64" s="8">
        <v>1912.2688</v>
      </c>
      <c r="C64" s="8">
        <f>B64*12</f>
        <v>22947.23</v>
      </c>
      <c r="D64" s="8">
        <f>B64*2</f>
        <v>3824.54</v>
      </c>
      <c r="E64" s="8">
        <f>C64*9%</f>
        <v>2065.25</v>
      </c>
      <c r="F64" s="8">
        <f>(C64+D64)*8.33%</f>
        <v>2230.09</v>
      </c>
      <c r="G64" s="8">
        <f>B64*0.5</f>
        <v>956.13</v>
      </c>
      <c r="H64" s="8">
        <f>0</f>
        <v>0.0</v>
      </c>
      <c r="I64" s="8">
        <f>B64*14/12</f>
        <v>2230.98</v>
      </c>
      <c r="J64" s="8">
        <f>SUM(D64:I64)</f>
        <v>11306.99</v>
      </c>
      <c r="K64" s="8">
        <f>C64+J64</f>
        <v>34254.22</v>
      </c>
    </row>
    <row r="65" spans="1:11">
      <c r="A65" s="4" t="s">
        <v>124</v>
      </c>
      <c r="B65" s="8">
        <v>1500</v>
      </c>
      <c r="C65" s="8">
        <f>B65*12</f>
        <v>18000.0</v>
      </c>
      <c r="D65" s="8">
        <f>B65*2</f>
        <v>3000.0</v>
      </c>
      <c r="E65" s="8">
        <f>C65*9%</f>
        <v>1620.0</v>
      </c>
      <c r="F65" s="8">
        <f>(C65+D65)*8.33%</f>
        <v>1749.3</v>
      </c>
      <c r="G65" s="8">
        <f>B65*0.5</f>
        <v>750.0</v>
      </c>
      <c r="H65" s="8">
        <f>0</f>
        <v>0.0</v>
      </c>
      <c r="I65" s="8">
        <f>B65*14/12</f>
        <v>1750.0</v>
      </c>
      <c r="J65" s="8">
        <f>SUM(D65:I65)</f>
        <v>8869.3</v>
      </c>
      <c r="K65" s="8">
        <f>C65+J65</f>
        <v>26869.3</v>
      </c>
    </row>
    <row r="66" spans="1:11">
      <c r="A66" s="7" t="s">
        <v>118</v>
      </c>
      <c r="K66" s="7">
        <f>SUM(K64:K65)</f>
        <v>61123.52</v>
      </c>
    </row>
    <row r="69" spans="1:11">
      <c r="A69" s="2" t="s">
        <v>125</v>
      </c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3" t="s">
        <v>97</v>
      </c>
      <c r="B70" s="3" t="s">
        <v>98</v>
      </c>
      <c r="C70" s="3" t="s">
        <v>99</v>
      </c>
      <c r="D70" s="3" t="s">
        <v>100</v>
      </c>
      <c r="E70" s="3" t="s">
        <v>101</v>
      </c>
      <c r="F70" s="3" t="s">
        <v>102</v>
      </c>
      <c r="G70" s="3" t="s">
        <v>103</v>
      </c>
      <c r="H70" s="3" t="s">
        <v>104</v>
      </c>
      <c r="I70" s="3" t="s">
        <v>105</v>
      </c>
      <c r="J70" s="3" t="s">
        <v>106</v>
      </c>
      <c r="K70" s="3" t="s">
        <v>107</v>
      </c>
    </row>
    <row r="71" spans="1:11">
      <c r="A71" s="2" t="s">
        <v>108</v>
      </c>
    </row>
    <row r="72" spans="1:11">
      <c r="A72" s="4" t="s">
        <v>109</v>
      </c>
      <c r="B72" s="8">
        <v>2105.745408</v>
      </c>
      <c r="C72" s="8">
        <f>B72*12</f>
        <v>25268.94</v>
      </c>
      <c r="D72" s="8">
        <f>B72*2</f>
        <v>4211.49</v>
      </c>
      <c r="E72" s="8">
        <f>C72*9%</f>
        <v>2274.21</v>
      </c>
      <c r="F72" s="8">
        <f>(C72+D72)*8.33%</f>
        <v>2455.72</v>
      </c>
      <c r="G72" s="8">
        <f>B72*0.5</f>
        <v>1052.87</v>
      </c>
      <c r="H72" s="8">
        <f>0</f>
        <v>0.0</v>
      </c>
      <c r="I72" s="8">
        <f>B72*14/12</f>
        <v>2456.7</v>
      </c>
      <c r="J72" s="8">
        <f>SUM(D72:I72)</f>
        <v>12450.99</v>
      </c>
      <c r="K72" s="8">
        <f>C72+J72</f>
        <v>37719.94</v>
      </c>
    </row>
    <row r="73" spans="1:11">
      <c r="A73" s="4" t="s">
        <v>110</v>
      </c>
      <c r="B73" s="8">
        <v>1052.872704</v>
      </c>
      <c r="C73" s="8">
        <f>B73*12</f>
        <v>12634.47</v>
      </c>
      <c r="D73" s="8">
        <f>B73*2</f>
        <v>2105.75</v>
      </c>
      <c r="E73" s="8">
        <f>C73*9%</f>
        <v>1137.1</v>
      </c>
      <c r="F73" s="8">
        <f>(C73+D73)*8.33%</f>
        <v>1227.86</v>
      </c>
      <c r="G73" s="8">
        <f>B73*0.5</f>
        <v>526.44</v>
      </c>
      <c r="H73" s="8">
        <f>0</f>
        <v>0.0</v>
      </c>
      <c r="I73" s="8">
        <f>B73*14/12</f>
        <v>1228.35</v>
      </c>
      <c r="J73" s="8">
        <f>SUM(D73:I73)</f>
        <v>6225.5</v>
      </c>
      <c r="K73" s="8">
        <f>C73+J73</f>
        <v>18859.97</v>
      </c>
    </row>
    <row r="74" spans="1:11">
      <c r="A74" s="4" t="s">
        <v>126</v>
      </c>
      <c r="B74" s="8">
        <v>1200</v>
      </c>
      <c r="C74" s="8">
        <f>B74*12</f>
        <v>14400.0</v>
      </c>
      <c r="D74" s="8">
        <f>B74*2</f>
        <v>2400.0</v>
      </c>
      <c r="E74" s="8">
        <f>C74*9%</f>
        <v>1296.0</v>
      </c>
      <c r="F74" s="8">
        <f>(C74+D74)*8.33%</f>
        <v>1399.44</v>
      </c>
      <c r="G74" s="8">
        <f>B74*0.5</f>
        <v>600.0</v>
      </c>
      <c r="H74" s="8">
        <f>0</f>
        <v>0.0</v>
      </c>
      <c r="I74" s="8">
        <f>B74*14/12</f>
        <v>1400.0</v>
      </c>
      <c r="J74" s="8">
        <f>SUM(D74:I74)</f>
        <v>7095.44</v>
      </c>
      <c r="K74" s="8">
        <f>C74+J74</f>
        <v>21495.44</v>
      </c>
    </row>
    <row r="75" spans="1:11">
      <c r="A75" s="7" t="s">
        <v>111</v>
      </c>
      <c r="K75" s="7">
        <f>SUM(K72:K74)</f>
        <v>78075.35</v>
      </c>
    </row>
    <row r="76" spans="1:11">
      <c r="A76" s="2" t="s">
        <v>112</v>
      </c>
    </row>
    <row r="77" spans="1:11">
      <c r="A77" s="4" t="s">
        <v>113</v>
      </c>
      <c r="B77" s="8">
        <v>2924.646400000001</v>
      </c>
      <c r="C77" s="8">
        <f>B77*12</f>
        <v>35095.76</v>
      </c>
      <c r="D77" s="8">
        <f>B77*2</f>
        <v>5849.29</v>
      </c>
      <c r="E77" s="8">
        <f>C77*9%</f>
        <v>3158.62</v>
      </c>
      <c r="F77" s="8">
        <f>(C77+D77)*8.33%</f>
        <v>3410.72</v>
      </c>
      <c r="G77" s="8">
        <f>B77*0.5</f>
        <v>1462.32</v>
      </c>
      <c r="H77" s="8">
        <f>0</f>
        <v>0.0</v>
      </c>
      <c r="I77" s="8">
        <f>B77*14/12</f>
        <v>3412.09</v>
      </c>
      <c r="J77" s="8">
        <f>SUM(D77:I77)</f>
        <v>17293.04</v>
      </c>
      <c r="K77" s="8">
        <f>C77+J77</f>
        <v>52388.8</v>
      </c>
    </row>
    <row r="78" spans="1:11">
      <c r="A78" s="4" t="s">
        <v>114</v>
      </c>
      <c r="B78" s="8">
        <v>1520.816128</v>
      </c>
      <c r="C78" s="8">
        <f>B78*12</f>
        <v>18249.79</v>
      </c>
      <c r="D78" s="8">
        <f>B78*2</f>
        <v>3041.63</v>
      </c>
      <c r="E78" s="8">
        <f>C78*9%</f>
        <v>1642.48</v>
      </c>
      <c r="F78" s="8">
        <f>(C78+D78)*8.33%</f>
        <v>1773.58</v>
      </c>
      <c r="G78" s="8">
        <f>B78*0.5</f>
        <v>760.41</v>
      </c>
      <c r="H78" s="8">
        <f>0</f>
        <v>0.0</v>
      </c>
      <c r="I78" s="8">
        <f>B78*14/12</f>
        <v>1774.29</v>
      </c>
      <c r="J78" s="8">
        <f>SUM(D78:I78)</f>
        <v>8992.38</v>
      </c>
      <c r="K78" s="8">
        <f>C78+J78</f>
        <v>27242.18</v>
      </c>
    </row>
    <row r="79" spans="1:11">
      <c r="A79" s="4" t="s">
        <v>120</v>
      </c>
      <c r="B79" s="8">
        <v>2024.7552</v>
      </c>
      <c r="C79" s="8">
        <f>B79*12</f>
        <v>24297.06</v>
      </c>
      <c r="D79" s="8">
        <f>B79*2</f>
        <v>4049.51</v>
      </c>
      <c r="E79" s="8">
        <f>C79*9%</f>
        <v>2186.74</v>
      </c>
      <c r="F79" s="8">
        <f>(C79+D79)*8.33%</f>
        <v>2361.27</v>
      </c>
      <c r="G79" s="8">
        <f>B79*0.5</f>
        <v>1012.38</v>
      </c>
      <c r="H79" s="8">
        <f>0</f>
        <v>0.0</v>
      </c>
      <c r="I79" s="8">
        <f>B79*14/12</f>
        <v>2362.21</v>
      </c>
      <c r="J79" s="8">
        <f>SUM(D79:I79)</f>
        <v>11972.11</v>
      </c>
      <c r="K79" s="8">
        <f>C79+J79</f>
        <v>36269.17</v>
      </c>
    </row>
    <row r="80" spans="1:11">
      <c r="A80" s="4" t="s">
        <v>122</v>
      </c>
      <c r="B80" s="8">
        <v>1297.92</v>
      </c>
      <c r="C80" s="8">
        <f>B80*12</f>
        <v>15575.04</v>
      </c>
      <c r="D80" s="8">
        <f>B80*2</f>
        <v>2595.84</v>
      </c>
      <c r="E80" s="8">
        <f>C80*9%</f>
        <v>1401.75</v>
      </c>
      <c r="F80" s="8">
        <f>(C80+D80)*8.33%</f>
        <v>1513.63</v>
      </c>
      <c r="G80" s="8">
        <f>B80*0.5</f>
        <v>648.96</v>
      </c>
      <c r="H80" s="8">
        <f>0</f>
        <v>0.0</v>
      </c>
      <c r="I80" s="8">
        <f>B80*14/12</f>
        <v>1514.24</v>
      </c>
      <c r="J80" s="8">
        <f>SUM(D80:I80)</f>
        <v>7674.43</v>
      </c>
      <c r="K80" s="8">
        <f>C80+J80</f>
        <v>23249.47</v>
      </c>
    </row>
    <row r="81" spans="1:11">
      <c r="A81" s="7" t="s">
        <v>115</v>
      </c>
      <c r="K81" s="7">
        <f>SUM(K77:K80)</f>
        <v>139149.62</v>
      </c>
    </row>
    <row r="82" spans="1:11">
      <c r="A82" s="2" t="s">
        <v>116</v>
      </c>
    </row>
    <row r="83" spans="1:11">
      <c r="A83" s="4" t="s">
        <v>117</v>
      </c>
      <c r="B83" s="8">
        <v>1988.759552</v>
      </c>
      <c r="C83" s="8">
        <f>B83*12</f>
        <v>23865.11</v>
      </c>
      <c r="D83" s="8">
        <f>B83*2</f>
        <v>3977.52</v>
      </c>
      <c r="E83" s="8">
        <f>C83*9%</f>
        <v>2147.86</v>
      </c>
      <c r="F83" s="8">
        <f>(C83+D83)*8.33%</f>
        <v>2319.29</v>
      </c>
      <c r="G83" s="8">
        <f>B83*0.5</f>
        <v>994.38</v>
      </c>
      <c r="H83" s="8">
        <f>0</f>
        <v>0.0</v>
      </c>
      <c r="I83" s="8">
        <f>B83*14/12</f>
        <v>2320.22</v>
      </c>
      <c r="J83" s="8">
        <f>SUM(D83:I83)</f>
        <v>11759.27</v>
      </c>
      <c r="K83" s="8">
        <f>C83+J83</f>
        <v>35624.38</v>
      </c>
    </row>
    <row r="84" spans="1:11">
      <c r="A84" s="4" t="s">
        <v>124</v>
      </c>
      <c r="B84" s="8">
        <v>1560</v>
      </c>
      <c r="C84" s="8">
        <f>B84*12</f>
        <v>18720.0</v>
      </c>
      <c r="D84" s="8">
        <f>B84*2</f>
        <v>3120.0</v>
      </c>
      <c r="E84" s="8">
        <f>C84*9%</f>
        <v>1684.8</v>
      </c>
      <c r="F84" s="8">
        <f>(C84+D84)*8.33%</f>
        <v>1819.27</v>
      </c>
      <c r="G84" s="8">
        <f>B84*0.5</f>
        <v>780.0</v>
      </c>
      <c r="H84" s="8">
        <f>0</f>
        <v>0.0</v>
      </c>
      <c r="I84" s="8">
        <f>B84*14/12</f>
        <v>1820.0</v>
      </c>
      <c r="J84" s="8">
        <f>SUM(D84:I84)</f>
        <v>9224.07</v>
      </c>
      <c r="K84" s="8">
        <f>C84+J84</f>
        <v>27944.07</v>
      </c>
    </row>
    <row r="85" spans="1:11">
      <c r="A85" s="7" t="s">
        <v>118</v>
      </c>
      <c r="K85" s="7">
        <f>SUM(K83:K84)</f>
        <v>63568.46</v>
      </c>
    </row>
    <row r="88" spans="1:11">
      <c r="A88" s="2" t="s">
        <v>127</v>
      </c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3" t="s">
        <v>97</v>
      </c>
      <c r="B89" s="3" t="s">
        <v>98</v>
      </c>
      <c r="C89" s="3" t="s">
        <v>99</v>
      </c>
      <c r="D89" s="3" t="s">
        <v>100</v>
      </c>
      <c r="E89" s="3" t="s">
        <v>101</v>
      </c>
      <c r="F89" s="3" t="s">
        <v>102</v>
      </c>
      <c r="G89" s="3" t="s">
        <v>103</v>
      </c>
      <c r="H89" s="3" t="s">
        <v>104</v>
      </c>
      <c r="I89" s="3" t="s">
        <v>105</v>
      </c>
      <c r="J89" s="3" t="s">
        <v>106</v>
      </c>
      <c r="K89" s="3" t="s">
        <v>107</v>
      </c>
    </row>
    <row r="90" spans="1:11">
      <c r="A90" s="2" t="s">
        <v>108</v>
      </c>
    </row>
    <row r="91" spans="1:11">
      <c r="A91" s="4" t="s">
        <v>109</v>
      </c>
      <c r="B91" s="8">
        <v>2189.97522432</v>
      </c>
      <c r="C91" s="8">
        <f>B91*12</f>
        <v>26279.7</v>
      </c>
      <c r="D91" s="8">
        <f>B91*2</f>
        <v>4379.95</v>
      </c>
      <c r="E91" s="8">
        <f>C91*9%</f>
        <v>2365.17</v>
      </c>
      <c r="F91" s="8">
        <f>(C91+D91)*8.33%</f>
        <v>2553.95</v>
      </c>
      <c r="G91" s="8">
        <f>B91*0.5</f>
        <v>1094.99</v>
      </c>
      <c r="H91" s="8">
        <f>0</f>
        <v>0.0</v>
      </c>
      <c r="I91" s="8">
        <f>B91*14/12</f>
        <v>2554.97</v>
      </c>
      <c r="J91" s="8">
        <f>SUM(D91:I91)</f>
        <v>12949.03</v>
      </c>
      <c r="K91" s="8">
        <f>C91+J91</f>
        <v>39228.73</v>
      </c>
    </row>
    <row r="92" spans="1:11">
      <c r="A92" s="4" t="s">
        <v>110</v>
      </c>
      <c r="B92" s="8">
        <v>1094.98761216</v>
      </c>
      <c r="C92" s="8">
        <f>B92*12</f>
        <v>13139.85</v>
      </c>
      <c r="D92" s="8">
        <f>B92*2</f>
        <v>2189.98</v>
      </c>
      <c r="E92" s="8">
        <f>C92*9%</f>
        <v>1182.59</v>
      </c>
      <c r="F92" s="8">
        <f>(C92+D92)*8.33%</f>
        <v>1276.97</v>
      </c>
      <c r="G92" s="8">
        <f>B92*0.5</f>
        <v>547.49</v>
      </c>
      <c r="H92" s="8">
        <f>0</f>
        <v>0.0</v>
      </c>
      <c r="I92" s="8">
        <f>B92*14/12</f>
        <v>1277.49</v>
      </c>
      <c r="J92" s="8">
        <f>SUM(D92:I92)</f>
        <v>6474.52</v>
      </c>
      <c r="K92" s="8">
        <f>C92+J92</f>
        <v>19614.37</v>
      </c>
    </row>
    <row r="93" spans="1:11">
      <c r="A93" s="4" t="s">
        <v>126</v>
      </c>
      <c r="B93" s="8">
        <v>1248</v>
      </c>
      <c r="C93" s="8">
        <f>B93*12</f>
        <v>14976.0</v>
      </c>
      <c r="D93" s="8">
        <f>B93*2</f>
        <v>2496.0</v>
      </c>
      <c r="E93" s="8">
        <f>C93*9%</f>
        <v>1347.84</v>
      </c>
      <c r="F93" s="8">
        <f>(C93+D93)*8.33%</f>
        <v>1455.42</v>
      </c>
      <c r="G93" s="8">
        <f>B93*0.5</f>
        <v>624.0</v>
      </c>
      <c r="H93" s="8">
        <f>0</f>
        <v>0.0</v>
      </c>
      <c r="I93" s="8">
        <f>B93*14/12</f>
        <v>1456.0</v>
      </c>
      <c r="J93" s="8">
        <f>SUM(D93:I93)</f>
        <v>7379.26</v>
      </c>
      <c r="K93" s="8">
        <f>C93+J93</f>
        <v>22355.26</v>
      </c>
    </row>
    <row r="94" spans="1:11">
      <c r="A94" s="7" t="s">
        <v>111</v>
      </c>
      <c r="K94" s="7">
        <f>SUM(K91:K93)</f>
        <v>81198.36</v>
      </c>
    </row>
    <row r="95" spans="1:11">
      <c r="A95" s="2" t="s">
        <v>112</v>
      </c>
    </row>
    <row r="96" spans="1:11">
      <c r="A96" s="4" t="s">
        <v>113</v>
      </c>
      <c r="B96" s="8">
        <v>3041.632256</v>
      </c>
      <c r="C96" s="8">
        <f>B96*12</f>
        <v>36499.59</v>
      </c>
      <c r="D96" s="8">
        <f>B96*2</f>
        <v>6083.26</v>
      </c>
      <c r="E96" s="8">
        <f>C96*9%</f>
        <v>3284.96</v>
      </c>
      <c r="F96" s="8">
        <f>(C96+D96)*8.33%</f>
        <v>3547.15</v>
      </c>
      <c r="G96" s="8">
        <f>B96*0.5</f>
        <v>1520.82</v>
      </c>
      <c r="H96" s="8">
        <f>0</f>
        <v>0.0</v>
      </c>
      <c r="I96" s="8">
        <f>B96*14/12</f>
        <v>3548.57</v>
      </c>
      <c r="J96" s="8">
        <f>SUM(D96:I96)</f>
        <v>17984.77</v>
      </c>
      <c r="K96" s="8">
        <f>C96+J96</f>
        <v>54484.35</v>
      </c>
    </row>
    <row r="97" spans="1:11">
      <c r="A97" s="4" t="s">
        <v>114</v>
      </c>
      <c r="B97" s="8">
        <v>1581.64877312</v>
      </c>
      <c r="C97" s="8">
        <f>B97*12</f>
        <v>18979.79</v>
      </c>
      <c r="D97" s="8">
        <f>B97*2</f>
        <v>3163.3</v>
      </c>
      <c r="E97" s="8">
        <f>C97*9%</f>
        <v>1708.18</v>
      </c>
      <c r="F97" s="8">
        <f>(C97+D97)*8.33%</f>
        <v>1844.52</v>
      </c>
      <c r="G97" s="8">
        <f>B97*0.5</f>
        <v>790.82</v>
      </c>
      <c r="H97" s="8">
        <f>0</f>
        <v>0.0</v>
      </c>
      <c r="I97" s="8">
        <f>B97*14/12</f>
        <v>1845.26</v>
      </c>
      <c r="J97" s="8">
        <f>SUM(D97:I97)</f>
        <v>9352.08</v>
      </c>
      <c r="K97" s="8">
        <f>C97+J97</f>
        <v>28331.86</v>
      </c>
    </row>
    <row r="98" spans="1:11">
      <c r="A98" s="4" t="s">
        <v>120</v>
      </c>
      <c r="B98" s="8">
        <v>2105.745408</v>
      </c>
      <c r="C98" s="8">
        <f>B98*12</f>
        <v>25268.94</v>
      </c>
      <c r="D98" s="8">
        <f>B98*2</f>
        <v>4211.49</v>
      </c>
      <c r="E98" s="8">
        <f>C98*9%</f>
        <v>2274.21</v>
      </c>
      <c r="F98" s="8">
        <f>(C98+D98)*8.33%</f>
        <v>2455.72</v>
      </c>
      <c r="G98" s="8">
        <f>B98*0.5</f>
        <v>1052.87</v>
      </c>
      <c r="H98" s="8">
        <f>0</f>
        <v>0.0</v>
      </c>
      <c r="I98" s="8">
        <f>B98*14/12</f>
        <v>2456.7</v>
      </c>
      <c r="J98" s="8">
        <f>SUM(D98:I98)</f>
        <v>12450.99</v>
      </c>
      <c r="K98" s="8">
        <f>C98+J98</f>
        <v>37719.94</v>
      </c>
    </row>
    <row r="99" spans="1:11">
      <c r="A99" s="4" t="s">
        <v>122</v>
      </c>
      <c r="B99" s="8">
        <v>1349.8368</v>
      </c>
      <c r="C99" s="8">
        <f>B99*12</f>
        <v>16198.04</v>
      </c>
      <c r="D99" s="8">
        <f>B99*2</f>
        <v>2699.67</v>
      </c>
      <c r="E99" s="8">
        <f>C99*9%</f>
        <v>1457.82</v>
      </c>
      <c r="F99" s="8">
        <f>(C99+D99)*8.33%</f>
        <v>1574.18</v>
      </c>
      <c r="G99" s="8">
        <f>B99*0.5</f>
        <v>674.92</v>
      </c>
      <c r="H99" s="8">
        <f>0</f>
        <v>0.0</v>
      </c>
      <c r="I99" s="8">
        <f>B99*14/12</f>
        <v>1574.81</v>
      </c>
      <c r="J99" s="8">
        <f>SUM(D99:I99)</f>
        <v>7981.41</v>
      </c>
      <c r="K99" s="8">
        <f>C99+J99</f>
        <v>24179.45</v>
      </c>
    </row>
    <row r="100" spans="1:11">
      <c r="A100" s="4" t="s">
        <v>128</v>
      </c>
      <c r="B100" s="8">
        <v>1300</v>
      </c>
      <c r="C100" s="8">
        <f>B100*12</f>
        <v>15600.0</v>
      </c>
      <c r="D100" s="8">
        <f>B100*2</f>
        <v>2600.0</v>
      </c>
      <c r="E100" s="8">
        <f>C100*9%</f>
        <v>1404.0</v>
      </c>
      <c r="F100" s="8">
        <f>(C100+D100)*8.33%</f>
        <v>1516.06</v>
      </c>
      <c r="G100" s="8">
        <f>B100*0.5</f>
        <v>650.0</v>
      </c>
      <c r="H100" s="8">
        <f>0</f>
        <v>0.0</v>
      </c>
      <c r="I100" s="8">
        <f>B100*14/12</f>
        <v>1516.67</v>
      </c>
      <c r="J100" s="8">
        <f>SUM(D100:I100)</f>
        <v>7686.73</v>
      </c>
      <c r="K100" s="8">
        <f>C100+J100</f>
        <v>23286.73</v>
      </c>
    </row>
    <row r="101" spans="1:11">
      <c r="A101" s="7" t="s">
        <v>115</v>
      </c>
      <c r="K101" s="7">
        <f>SUM(K96:K100)</f>
        <v>168002.33</v>
      </c>
    </row>
    <row r="102" spans="1:11">
      <c r="A102" s="2" t="s">
        <v>116</v>
      </c>
    </row>
    <row r="103" spans="1:11">
      <c r="A103" s="4" t="s">
        <v>117</v>
      </c>
      <c r="B103" s="8">
        <v>2068.30993408</v>
      </c>
      <c r="C103" s="8">
        <f>B103*12</f>
        <v>24819.72</v>
      </c>
      <c r="D103" s="8">
        <f>B103*2</f>
        <v>4136.62</v>
      </c>
      <c r="E103" s="8">
        <f>C103*9%</f>
        <v>2233.77</v>
      </c>
      <c r="F103" s="8">
        <f>(C103+D103)*8.33%</f>
        <v>2412.06</v>
      </c>
      <c r="G103" s="8">
        <f>B103*0.5</f>
        <v>1034.15</v>
      </c>
      <c r="H103" s="8">
        <f>0</f>
        <v>0.0</v>
      </c>
      <c r="I103" s="8">
        <f>B103*14/12</f>
        <v>2413.03</v>
      </c>
      <c r="J103" s="8">
        <f>SUM(D103:I103)</f>
        <v>12229.64</v>
      </c>
      <c r="K103" s="8">
        <f>C103+J103</f>
        <v>37049.36</v>
      </c>
    </row>
    <row r="104" spans="1:11">
      <c r="A104" s="4" t="s">
        <v>124</v>
      </c>
      <c r="B104" s="8">
        <v>1622.4</v>
      </c>
      <c r="C104" s="8">
        <f>B104*12</f>
        <v>19468.8</v>
      </c>
      <c r="D104" s="8">
        <f>B104*2</f>
        <v>3244.8</v>
      </c>
      <c r="E104" s="8">
        <f>C104*9%</f>
        <v>1752.19</v>
      </c>
      <c r="F104" s="8">
        <f>(C104+D104)*8.33%</f>
        <v>1892.04</v>
      </c>
      <c r="G104" s="8">
        <f>B104*0.5</f>
        <v>811.2</v>
      </c>
      <c r="H104" s="8">
        <f>0</f>
        <v>0.0</v>
      </c>
      <c r="I104" s="8">
        <f>B104*14/12</f>
        <v>1892.8</v>
      </c>
      <c r="J104" s="8">
        <f>SUM(D104:I104)</f>
        <v>9593.03</v>
      </c>
      <c r="K104" s="8">
        <f>C104+J104</f>
        <v>29061.83</v>
      </c>
    </row>
    <row r="105" spans="1:11">
      <c r="A105" s="7" t="s">
        <v>118</v>
      </c>
      <c r="K105" s="7">
        <f>SUM(K103:K104)</f>
        <v>66111.19</v>
      </c>
    </row>
    <row r="108" spans="1:11">
      <c r="A108" s="2" t="s">
        <v>129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3" t="s">
        <v>97</v>
      </c>
      <c r="B109" s="3" t="s">
        <v>98</v>
      </c>
      <c r="C109" s="3" t="s">
        <v>99</v>
      </c>
      <c r="D109" s="3" t="s">
        <v>100</v>
      </c>
      <c r="E109" s="3" t="s">
        <v>101</v>
      </c>
      <c r="F109" s="3" t="s">
        <v>102</v>
      </c>
      <c r="G109" s="3" t="s">
        <v>103</v>
      </c>
      <c r="H109" s="3" t="s">
        <v>104</v>
      </c>
      <c r="I109" s="3" t="s">
        <v>105</v>
      </c>
      <c r="J109" s="3" t="s">
        <v>106</v>
      </c>
      <c r="K109" s="3" t="s">
        <v>107</v>
      </c>
    </row>
    <row r="110" spans="1:11">
      <c r="A110" s="2" t="s">
        <v>108</v>
      </c>
    </row>
    <row r="111" spans="1:11">
      <c r="A111" s="4" t="s">
        <v>109</v>
      </c>
      <c r="B111" s="8">
        <v>2277.574233292801</v>
      </c>
      <c r="C111" s="8">
        <f>B111*12</f>
        <v>27330.89</v>
      </c>
      <c r="D111" s="8">
        <f>B111*2</f>
        <v>4555.15</v>
      </c>
      <c r="E111" s="8">
        <f>C111*9%</f>
        <v>2459.78</v>
      </c>
      <c r="F111" s="8">
        <f>(C111+D111)*8.33%</f>
        <v>2656.11</v>
      </c>
      <c r="G111" s="8">
        <f>B111*0.5</f>
        <v>1138.79</v>
      </c>
      <c r="H111" s="8">
        <f>0</f>
        <v>0.0</v>
      </c>
      <c r="I111" s="8">
        <f>B111*14/12</f>
        <v>2657.17</v>
      </c>
      <c r="J111" s="8">
        <f>SUM(D111:I111)</f>
        <v>13466.99</v>
      </c>
      <c r="K111" s="8">
        <f>C111+J111</f>
        <v>40797.88</v>
      </c>
    </row>
    <row r="112" spans="1:11">
      <c r="A112" s="4" t="s">
        <v>110</v>
      </c>
      <c r="B112" s="8">
        <v>1138.7871166464</v>
      </c>
      <c r="C112" s="8">
        <f>B112*12</f>
        <v>13665.45</v>
      </c>
      <c r="D112" s="8">
        <f>B112*2</f>
        <v>2277.57</v>
      </c>
      <c r="E112" s="8">
        <f>C112*9%</f>
        <v>1229.89</v>
      </c>
      <c r="F112" s="8">
        <f>(C112+D112)*8.33%</f>
        <v>1328.05</v>
      </c>
      <c r="G112" s="8">
        <f>B112*0.5</f>
        <v>569.39</v>
      </c>
      <c r="H112" s="8">
        <f>0</f>
        <v>0.0</v>
      </c>
      <c r="I112" s="8">
        <f>B112*14/12</f>
        <v>1328.58</v>
      </c>
      <c r="J112" s="8">
        <f>SUM(D112:I112)</f>
        <v>6733.5</v>
      </c>
      <c r="K112" s="8">
        <f>C112+J112</f>
        <v>20398.94</v>
      </c>
    </row>
    <row r="113" spans="1:11">
      <c r="A113" s="4" t="s">
        <v>126</v>
      </c>
      <c r="B113" s="8">
        <v>1297.92</v>
      </c>
      <c r="C113" s="8">
        <f>B113*12</f>
        <v>15575.04</v>
      </c>
      <c r="D113" s="8">
        <f>B113*2</f>
        <v>2595.84</v>
      </c>
      <c r="E113" s="8">
        <f>C113*9%</f>
        <v>1401.75</v>
      </c>
      <c r="F113" s="8">
        <f>(C113+D113)*8.33%</f>
        <v>1513.63</v>
      </c>
      <c r="G113" s="8">
        <f>B113*0.5</f>
        <v>648.96</v>
      </c>
      <c r="H113" s="8">
        <f>0</f>
        <v>0.0</v>
      </c>
      <c r="I113" s="8">
        <f>B113*14/12</f>
        <v>1514.24</v>
      </c>
      <c r="J113" s="8">
        <f>SUM(D113:I113)</f>
        <v>7674.43</v>
      </c>
      <c r="K113" s="8">
        <f>C113+J113</f>
        <v>23249.47</v>
      </c>
    </row>
    <row r="114" spans="1:11">
      <c r="A114" s="7" t="s">
        <v>111</v>
      </c>
      <c r="K114" s="7">
        <f>SUM(K111:K113)</f>
        <v>84446.29</v>
      </c>
    </row>
    <row r="115" spans="1:11">
      <c r="A115" s="2" t="s">
        <v>112</v>
      </c>
    </row>
    <row r="116" spans="1:11">
      <c r="A116" s="4" t="s">
        <v>113</v>
      </c>
      <c r="B116" s="8">
        <v>3163.297546240001</v>
      </c>
      <c r="C116" s="8">
        <f>B116*12</f>
        <v>37959.57</v>
      </c>
      <c r="D116" s="8">
        <f>B116*2</f>
        <v>6326.6</v>
      </c>
      <c r="E116" s="8">
        <f>C116*9%</f>
        <v>3416.36</v>
      </c>
      <c r="F116" s="8">
        <f>(C116+D116)*8.33%</f>
        <v>3689.04</v>
      </c>
      <c r="G116" s="8">
        <f>B116*0.5</f>
        <v>1581.65</v>
      </c>
      <c r="H116" s="8">
        <f>0</f>
        <v>0.0</v>
      </c>
      <c r="I116" s="8">
        <f>B116*14/12</f>
        <v>3690.51</v>
      </c>
      <c r="J116" s="8">
        <f>SUM(D116:I116)</f>
        <v>18704.16</v>
      </c>
      <c r="K116" s="8">
        <f>C116+J116</f>
        <v>56663.73</v>
      </c>
    </row>
    <row r="117" spans="1:11">
      <c r="A117" s="4" t="s">
        <v>114</v>
      </c>
      <c r="B117" s="8">
        <v>1644.914724044801</v>
      </c>
      <c r="C117" s="8">
        <f>B117*12</f>
        <v>19738.98</v>
      </c>
      <c r="D117" s="8">
        <f>B117*2</f>
        <v>3289.83</v>
      </c>
      <c r="E117" s="8">
        <f>C117*9%</f>
        <v>1776.51</v>
      </c>
      <c r="F117" s="8">
        <f>(C117+D117)*8.33%</f>
        <v>1918.3</v>
      </c>
      <c r="G117" s="8">
        <f>B117*0.5</f>
        <v>822.46</v>
      </c>
      <c r="H117" s="8">
        <f>0</f>
        <v>0.0</v>
      </c>
      <c r="I117" s="8">
        <f>B117*14/12</f>
        <v>1919.07</v>
      </c>
      <c r="J117" s="8">
        <f>SUM(D117:I117)</f>
        <v>9726.16</v>
      </c>
      <c r="K117" s="8">
        <f>C117+J117</f>
        <v>29465.14</v>
      </c>
    </row>
    <row r="118" spans="1:11">
      <c r="A118" s="4" t="s">
        <v>120</v>
      </c>
      <c r="B118" s="8">
        <v>2189.97522432</v>
      </c>
      <c r="C118" s="8">
        <f>B118*12</f>
        <v>26279.7</v>
      </c>
      <c r="D118" s="8">
        <f>B118*2</f>
        <v>4379.95</v>
      </c>
      <c r="E118" s="8">
        <f>C118*9%</f>
        <v>2365.17</v>
      </c>
      <c r="F118" s="8">
        <f>(C118+D118)*8.33%</f>
        <v>2553.95</v>
      </c>
      <c r="G118" s="8">
        <f>B118*0.5</f>
        <v>1094.99</v>
      </c>
      <c r="H118" s="8">
        <f>0</f>
        <v>0.0</v>
      </c>
      <c r="I118" s="8">
        <f>B118*14/12</f>
        <v>2554.97</v>
      </c>
      <c r="J118" s="8">
        <f>SUM(D118:I118)</f>
        <v>12949.03</v>
      </c>
      <c r="K118" s="8">
        <f>C118+J118</f>
        <v>39228.73</v>
      </c>
    </row>
    <row r="119" spans="1:11">
      <c r="A119" s="4" t="s">
        <v>122</v>
      </c>
      <c r="B119" s="8">
        <v>1403.830272</v>
      </c>
      <c r="C119" s="8">
        <f>B119*12</f>
        <v>16845.96</v>
      </c>
      <c r="D119" s="8">
        <f>B119*2</f>
        <v>2807.66</v>
      </c>
      <c r="E119" s="8">
        <f>C119*9%</f>
        <v>1516.14</v>
      </c>
      <c r="F119" s="8">
        <f>(C119+D119)*8.33%</f>
        <v>1637.15</v>
      </c>
      <c r="G119" s="8">
        <f>B119*0.5</f>
        <v>701.92</v>
      </c>
      <c r="H119" s="8">
        <f>0</f>
        <v>0.0</v>
      </c>
      <c r="I119" s="8">
        <f>B119*14/12</f>
        <v>1637.8</v>
      </c>
      <c r="J119" s="8">
        <f>SUM(D119:I119)</f>
        <v>8300.66</v>
      </c>
      <c r="K119" s="8">
        <f>C119+J119</f>
        <v>25146.62</v>
      </c>
    </row>
    <row r="120" spans="1:11">
      <c r="A120" s="4" t="s">
        <v>128</v>
      </c>
      <c r="B120" s="8">
        <v>1352</v>
      </c>
      <c r="C120" s="8">
        <f>B120*12</f>
        <v>16224.0</v>
      </c>
      <c r="D120" s="8">
        <f>B120*2</f>
        <v>2704.0</v>
      </c>
      <c r="E120" s="8">
        <f>C120*9%</f>
        <v>1460.16</v>
      </c>
      <c r="F120" s="8">
        <f>(C120+D120)*8.33%</f>
        <v>1576.7</v>
      </c>
      <c r="G120" s="8">
        <f>B120*0.5</f>
        <v>676.0</v>
      </c>
      <c r="H120" s="8">
        <f>0</f>
        <v>0.0</v>
      </c>
      <c r="I120" s="8">
        <f>B120*14/12</f>
        <v>1577.33</v>
      </c>
      <c r="J120" s="8">
        <f>SUM(D120:I120)</f>
        <v>7994.2</v>
      </c>
      <c r="K120" s="8">
        <f>C120+J120</f>
        <v>24218.2</v>
      </c>
    </row>
    <row r="121" spans="1:11">
      <c r="A121" s="7" t="s">
        <v>115</v>
      </c>
      <c r="K121" s="7">
        <f>SUM(K116:K120)</f>
        <v>174722.42</v>
      </c>
    </row>
    <row r="122" spans="1:11">
      <c r="A122" s="2" t="s">
        <v>116</v>
      </c>
    </row>
    <row r="123" spans="1:11">
      <c r="A123" s="4" t="s">
        <v>117</v>
      </c>
      <c r="B123" s="8">
        <v>2151.042331443201</v>
      </c>
      <c r="C123" s="8">
        <f>B123*12</f>
        <v>25812.51</v>
      </c>
      <c r="D123" s="8">
        <f>B123*2</f>
        <v>4302.08</v>
      </c>
      <c r="E123" s="8">
        <f>C123*9%</f>
        <v>2323.13</v>
      </c>
      <c r="F123" s="8">
        <f>(C123+D123)*8.33%</f>
        <v>2508.55</v>
      </c>
      <c r="G123" s="8">
        <f>B123*0.5</f>
        <v>1075.52</v>
      </c>
      <c r="H123" s="8">
        <f>0</f>
        <v>0.0</v>
      </c>
      <c r="I123" s="8">
        <f>B123*14/12</f>
        <v>2509.55</v>
      </c>
      <c r="J123" s="8">
        <f>SUM(D123:I123)</f>
        <v>12718.83</v>
      </c>
      <c r="K123" s="8">
        <f>C123+J123</f>
        <v>38531.33</v>
      </c>
    </row>
    <row r="124" spans="1:11">
      <c r="A124" s="4" t="s">
        <v>124</v>
      </c>
      <c r="B124" s="8">
        <v>1687.296</v>
      </c>
      <c r="C124" s="8">
        <f>B124*12</f>
        <v>20247.55</v>
      </c>
      <c r="D124" s="8">
        <f>B124*2</f>
        <v>3374.59</v>
      </c>
      <c r="E124" s="8">
        <f>C124*9%</f>
        <v>1822.28</v>
      </c>
      <c r="F124" s="8">
        <f>(C124+D124)*8.33%</f>
        <v>1967.72</v>
      </c>
      <c r="G124" s="8">
        <f>B124*0.5</f>
        <v>843.65</v>
      </c>
      <c r="H124" s="8">
        <f>0</f>
        <v>0.0</v>
      </c>
      <c r="I124" s="8">
        <f>B124*14/12</f>
        <v>1968.51</v>
      </c>
      <c r="J124" s="8">
        <f>SUM(D124:I124)</f>
        <v>9976.76</v>
      </c>
      <c r="K124" s="8">
        <f>C124+J124</f>
        <v>30224.31</v>
      </c>
    </row>
    <row r="125" spans="1:11">
      <c r="A125" s="7" t="s">
        <v>118</v>
      </c>
      <c r="K125" s="7">
        <f>SUM(K123:K124)</f>
        <v>68755.64</v>
      </c>
    </row>
    <row r="128" spans="1:11">
      <c r="A128" s="2" t="s">
        <v>130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3" t="s">
        <v>97</v>
      </c>
      <c r="B129" s="3" t="s">
        <v>98</v>
      </c>
      <c r="C129" s="3" t="s">
        <v>99</v>
      </c>
      <c r="D129" s="3" t="s">
        <v>100</v>
      </c>
      <c r="E129" s="3" t="s">
        <v>101</v>
      </c>
      <c r="F129" s="3" t="s">
        <v>102</v>
      </c>
      <c r="G129" s="3" t="s">
        <v>103</v>
      </c>
      <c r="H129" s="3" t="s">
        <v>104</v>
      </c>
      <c r="I129" s="3" t="s">
        <v>105</v>
      </c>
      <c r="J129" s="3" t="s">
        <v>106</v>
      </c>
      <c r="K129" s="3" t="s">
        <v>107</v>
      </c>
    </row>
    <row r="130" spans="1:11">
      <c r="A130" s="2" t="s">
        <v>108</v>
      </c>
    </row>
    <row r="131" spans="1:11">
      <c r="A131" s="4" t="s">
        <v>109</v>
      </c>
      <c r="B131" s="8">
        <v>2368.677202624513</v>
      </c>
      <c r="C131" s="8">
        <f>B131*12</f>
        <v>28424.13</v>
      </c>
      <c r="D131" s="8">
        <f>B131*2</f>
        <v>4737.35</v>
      </c>
      <c r="E131" s="8">
        <f>C131*9%</f>
        <v>2558.17</v>
      </c>
      <c r="F131" s="8">
        <f>(C131+D131)*8.33%</f>
        <v>2762.35</v>
      </c>
      <c r="G131" s="8">
        <f>B131*0.5</f>
        <v>1184.34</v>
      </c>
      <c r="H131" s="8">
        <f>0</f>
        <v>0.0</v>
      </c>
      <c r="I131" s="8">
        <f>B131*14/12</f>
        <v>2763.46</v>
      </c>
      <c r="J131" s="8">
        <f>SUM(D131:I131)</f>
        <v>14005.67</v>
      </c>
      <c r="K131" s="8">
        <f>C131+J131</f>
        <v>42429.8</v>
      </c>
    </row>
    <row r="132" spans="1:11">
      <c r="A132" s="4" t="s">
        <v>110</v>
      </c>
      <c r="B132" s="8">
        <v>1184.338601312256</v>
      </c>
      <c r="C132" s="8">
        <f>B132*12</f>
        <v>14212.06</v>
      </c>
      <c r="D132" s="8">
        <f>B132*2</f>
        <v>2368.68</v>
      </c>
      <c r="E132" s="8">
        <f>C132*9%</f>
        <v>1279.09</v>
      </c>
      <c r="F132" s="8">
        <f>(C132+D132)*8.33%</f>
        <v>1381.18</v>
      </c>
      <c r="G132" s="8">
        <f>B132*0.5</f>
        <v>592.17</v>
      </c>
      <c r="H132" s="8">
        <f>0</f>
        <v>0.0</v>
      </c>
      <c r="I132" s="8">
        <f>B132*14/12</f>
        <v>1381.73</v>
      </c>
      <c r="J132" s="8">
        <f>SUM(D132:I132)</f>
        <v>7002.84</v>
      </c>
      <c r="K132" s="8">
        <f>C132+J132</f>
        <v>21214.9</v>
      </c>
    </row>
    <row r="133" spans="1:11">
      <c r="A133" s="4" t="s">
        <v>126</v>
      </c>
      <c r="B133" s="8">
        <v>1349.8368</v>
      </c>
      <c r="C133" s="8">
        <f>B133*12</f>
        <v>16198.04</v>
      </c>
      <c r="D133" s="8">
        <f>B133*2</f>
        <v>2699.67</v>
      </c>
      <c r="E133" s="8">
        <f>C133*9%</f>
        <v>1457.82</v>
      </c>
      <c r="F133" s="8">
        <f>(C133+D133)*8.33%</f>
        <v>1574.18</v>
      </c>
      <c r="G133" s="8">
        <f>B133*0.5</f>
        <v>674.92</v>
      </c>
      <c r="H133" s="8">
        <f>0</f>
        <v>0.0</v>
      </c>
      <c r="I133" s="8">
        <f>B133*14/12</f>
        <v>1574.81</v>
      </c>
      <c r="J133" s="8">
        <f>SUM(D133:I133)</f>
        <v>7981.41</v>
      </c>
      <c r="K133" s="8">
        <f>C133+J133</f>
        <v>24179.45</v>
      </c>
    </row>
    <row r="134" spans="1:11">
      <c r="A134" s="7" t="s">
        <v>111</v>
      </c>
      <c r="K134" s="7">
        <f>SUM(K131:K133)</f>
        <v>87824.14</v>
      </c>
    </row>
    <row r="135" spans="1:11">
      <c r="A135" s="2" t="s">
        <v>112</v>
      </c>
    </row>
    <row r="136" spans="1:11">
      <c r="A136" s="4" t="s">
        <v>113</v>
      </c>
      <c r="B136" s="8">
        <v>3289.829448089601</v>
      </c>
      <c r="C136" s="8">
        <f>B136*12</f>
        <v>39477.95</v>
      </c>
      <c r="D136" s="8">
        <f>B136*2</f>
        <v>6579.66</v>
      </c>
      <c r="E136" s="8">
        <f>C136*9%</f>
        <v>3553.02</v>
      </c>
      <c r="F136" s="8">
        <f>(C136+D136)*8.33%</f>
        <v>3836.6</v>
      </c>
      <c r="G136" s="8">
        <f>B136*0.5</f>
        <v>1644.91</v>
      </c>
      <c r="H136" s="8">
        <f>0</f>
        <v>0.0</v>
      </c>
      <c r="I136" s="8">
        <f>B136*14/12</f>
        <v>3838.13</v>
      </c>
      <c r="J136" s="8">
        <f>SUM(D136:I136)</f>
        <v>19452.32</v>
      </c>
      <c r="K136" s="8">
        <f>C136+J136</f>
        <v>58930.28</v>
      </c>
    </row>
    <row r="137" spans="1:11">
      <c r="A137" s="4" t="s">
        <v>114</v>
      </c>
      <c r="B137" s="8">
        <v>1710.711313006592</v>
      </c>
      <c r="C137" s="8">
        <f>B137*12</f>
        <v>20528.54</v>
      </c>
      <c r="D137" s="8">
        <f>B137*2</f>
        <v>3421.42</v>
      </c>
      <c r="E137" s="8">
        <f>C137*9%</f>
        <v>1847.57</v>
      </c>
      <c r="F137" s="8">
        <f>(C137+D137)*8.33%</f>
        <v>1995.03</v>
      </c>
      <c r="G137" s="8">
        <f>B137*0.5</f>
        <v>855.36</v>
      </c>
      <c r="H137" s="8">
        <f>0</f>
        <v>0.0</v>
      </c>
      <c r="I137" s="8">
        <f>B137*14/12</f>
        <v>1995.83</v>
      </c>
      <c r="J137" s="8">
        <f>SUM(D137:I137)</f>
        <v>10115.21</v>
      </c>
      <c r="K137" s="8">
        <f>C137+J137</f>
        <v>30643.74</v>
      </c>
    </row>
    <row r="138" spans="1:11">
      <c r="A138" s="4" t="s">
        <v>120</v>
      </c>
      <c r="B138" s="8">
        <v>2277.574233292801</v>
      </c>
      <c r="C138" s="8">
        <f>B138*12</f>
        <v>27330.89</v>
      </c>
      <c r="D138" s="8">
        <f>B138*2</f>
        <v>4555.15</v>
      </c>
      <c r="E138" s="8">
        <f>C138*9%</f>
        <v>2459.78</v>
      </c>
      <c r="F138" s="8">
        <f>(C138+D138)*8.33%</f>
        <v>2656.11</v>
      </c>
      <c r="G138" s="8">
        <f>B138*0.5</f>
        <v>1138.79</v>
      </c>
      <c r="H138" s="8">
        <f>0</f>
        <v>0.0</v>
      </c>
      <c r="I138" s="8">
        <f>B138*14/12</f>
        <v>2657.17</v>
      </c>
      <c r="J138" s="8">
        <f>SUM(D138:I138)</f>
        <v>13466.99</v>
      </c>
      <c r="K138" s="8">
        <f>C138+J138</f>
        <v>40797.88</v>
      </c>
    </row>
    <row r="139" spans="1:11">
      <c r="A139" s="4" t="s">
        <v>122</v>
      </c>
      <c r="B139" s="8">
        <v>1459.98348288</v>
      </c>
      <c r="C139" s="8">
        <f>B139*12</f>
        <v>17519.8</v>
      </c>
      <c r="D139" s="8">
        <f>B139*2</f>
        <v>2919.97</v>
      </c>
      <c r="E139" s="8">
        <f>C139*9%</f>
        <v>1576.78</v>
      </c>
      <c r="F139" s="8">
        <f>(C139+D139)*8.33%</f>
        <v>1702.63</v>
      </c>
      <c r="G139" s="8">
        <f>B139*0.5</f>
        <v>729.99</v>
      </c>
      <c r="H139" s="8">
        <f>0</f>
        <v>0.0</v>
      </c>
      <c r="I139" s="8">
        <f>B139*14/12</f>
        <v>1703.31</v>
      </c>
      <c r="J139" s="8">
        <f>SUM(D139:I139)</f>
        <v>8632.69</v>
      </c>
      <c r="K139" s="8">
        <f>C139+J139</f>
        <v>26152.49</v>
      </c>
    </row>
    <row r="140" spans="1:11">
      <c r="A140" s="4" t="s">
        <v>128</v>
      </c>
      <c r="B140" s="8">
        <v>1406.08</v>
      </c>
      <c r="C140" s="8">
        <f>B140*12</f>
        <v>16872.96</v>
      </c>
      <c r="D140" s="8">
        <f>B140*2</f>
        <v>2812.16</v>
      </c>
      <c r="E140" s="8">
        <f>C140*9%</f>
        <v>1518.57</v>
      </c>
      <c r="F140" s="8">
        <f>(C140+D140)*8.33%</f>
        <v>1639.77</v>
      </c>
      <c r="G140" s="8">
        <f>B140*0.5</f>
        <v>703.04</v>
      </c>
      <c r="H140" s="8">
        <f>0</f>
        <v>0.0</v>
      </c>
      <c r="I140" s="8">
        <f>B140*14/12</f>
        <v>1640.43</v>
      </c>
      <c r="J140" s="8">
        <f>SUM(D140:I140)</f>
        <v>8313.96</v>
      </c>
      <c r="K140" s="8">
        <f>C140+J140</f>
        <v>25186.92</v>
      </c>
    </row>
    <row r="141" spans="1:11">
      <c r="A141" s="4" t="s">
        <v>131</v>
      </c>
      <c r="B141" s="8">
        <v>1500</v>
      </c>
      <c r="C141" s="8">
        <f>B141*12</f>
        <v>18000.0</v>
      </c>
      <c r="D141" s="8">
        <f>B141*2</f>
        <v>3000.0</v>
      </c>
      <c r="E141" s="8">
        <f>C141*9%</f>
        <v>1620.0</v>
      </c>
      <c r="F141" s="8">
        <f>(C141+D141)*8.33%</f>
        <v>1749.3</v>
      </c>
      <c r="G141" s="8">
        <f>B141*0.5</f>
        <v>750.0</v>
      </c>
      <c r="H141" s="8">
        <f>0</f>
        <v>0.0</v>
      </c>
      <c r="I141" s="8">
        <f>B141*14/12</f>
        <v>1750.0</v>
      </c>
      <c r="J141" s="8">
        <f>SUM(D141:I141)</f>
        <v>8869.3</v>
      </c>
      <c r="K141" s="8">
        <f>C141+J141</f>
        <v>26869.3</v>
      </c>
    </row>
    <row r="142" spans="1:11">
      <c r="A142" s="7" t="s">
        <v>115</v>
      </c>
      <c r="K142" s="7">
        <f>SUM(K136:K141)</f>
        <v>208580.62</v>
      </c>
    </row>
    <row r="143" spans="1:11">
      <c r="A143" s="2" t="s">
        <v>116</v>
      </c>
    </row>
    <row r="144" spans="1:11">
      <c r="A144" s="4" t="s">
        <v>117</v>
      </c>
      <c r="B144" s="8">
        <v>2237.084024700928</v>
      </c>
      <c r="C144" s="8">
        <f>B144*12</f>
        <v>26845.01</v>
      </c>
      <c r="D144" s="8">
        <f>B144*2</f>
        <v>4474.17</v>
      </c>
      <c r="E144" s="8">
        <f>C144*9%</f>
        <v>2416.05</v>
      </c>
      <c r="F144" s="8">
        <f>(C144+D144)*8.33%</f>
        <v>2608.89</v>
      </c>
      <c r="G144" s="8">
        <f>B144*0.5</f>
        <v>1118.54</v>
      </c>
      <c r="H144" s="8">
        <f>0</f>
        <v>0.0</v>
      </c>
      <c r="I144" s="8">
        <f>B144*14/12</f>
        <v>2609.93</v>
      </c>
      <c r="J144" s="8">
        <f>SUM(D144:I144)</f>
        <v>13227.58</v>
      </c>
      <c r="K144" s="8">
        <f>C144+J144</f>
        <v>40072.59</v>
      </c>
    </row>
    <row r="145" spans="1:11">
      <c r="A145" s="4" t="s">
        <v>124</v>
      </c>
      <c r="B145" s="8">
        <v>1754.78784</v>
      </c>
      <c r="C145" s="8">
        <f>B145*12</f>
        <v>21057.45</v>
      </c>
      <c r="D145" s="8">
        <f>B145*2</f>
        <v>3509.58</v>
      </c>
      <c r="E145" s="8">
        <f>C145*9%</f>
        <v>1895.17</v>
      </c>
      <c r="F145" s="8">
        <f>(C145+D145)*8.33%</f>
        <v>2046.43</v>
      </c>
      <c r="G145" s="8">
        <f>B145*0.5</f>
        <v>877.39</v>
      </c>
      <c r="H145" s="8">
        <f>0</f>
        <v>0.0</v>
      </c>
      <c r="I145" s="8">
        <f>B145*14/12</f>
        <v>2047.25</v>
      </c>
      <c r="J145" s="8">
        <f>SUM(D145:I145)</f>
        <v>10375.83</v>
      </c>
      <c r="K145" s="8">
        <f>C145+J145</f>
        <v>31433.28</v>
      </c>
    </row>
    <row r="146" spans="1:11">
      <c r="A146" s="4" t="s">
        <v>132</v>
      </c>
      <c r="B146" s="8">
        <v>1300</v>
      </c>
      <c r="C146" s="8">
        <f>B146*12</f>
        <v>15600.0</v>
      </c>
      <c r="D146" s="8">
        <f>B146*2</f>
        <v>2600.0</v>
      </c>
      <c r="E146" s="8">
        <f>C146*9%</f>
        <v>1404.0</v>
      </c>
      <c r="F146" s="8">
        <f>(C146+D146)*8.33%</f>
        <v>1516.06</v>
      </c>
      <c r="G146" s="8">
        <f>B146*0.5</f>
        <v>650.0</v>
      </c>
      <c r="H146" s="8">
        <f>0</f>
        <v>0.0</v>
      </c>
      <c r="I146" s="8">
        <f>B146*14/12</f>
        <v>1516.67</v>
      </c>
      <c r="J146" s="8">
        <f>SUM(D146:I146)</f>
        <v>7686.73</v>
      </c>
      <c r="K146" s="8">
        <f>C146+J146</f>
        <v>23286.73</v>
      </c>
    </row>
    <row r="147" spans="1:11">
      <c r="A147" s="7" t="s">
        <v>118</v>
      </c>
      <c r="K147" s="7">
        <f>SUM(K144:K146)</f>
        <v>94792.6</v>
      </c>
    </row>
    <row r="150" spans="1:11">
      <c r="A150" s="2" t="s">
        <v>133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3" t="s">
        <v>97</v>
      </c>
      <c r="B151" s="3" t="s">
        <v>98</v>
      </c>
      <c r="C151" s="3" t="s">
        <v>99</v>
      </c>
      <c r="D151" s="3" t="s">
        <v>100</v>
      </c>
      <c r="E151" s="3" t="s">
        <v>101</v>
      </c>
      <c r="F151" s="3" t="s">
        <v>102</v>
      </c>
      <c r="G151" s="3" t="s">
        <v>103</v>
      </c>
      <c r="H151" s="3" t="s">
        <v>104</v>
      </c>
      <c r="I151" s="3" t="s">
        <v>105</v>
      </c>
      <c r="J151" s="3" t="s">
        <v>106</v>
      </c>
      <c r="K151" s="3" t="s">
        <v>107</v>
      </c>
    </row>
    <row r="152" spans="1:11">
      <c r="A152" s="2" t="s">
        <v>108</v>
      </c>
    </row>
    <row r="153" spans="1:11">
      <c r="A153" s="4" t="s">
        <v>109</v>
      </c>
      <c r="B153" s="8">
        <v>2463.424290729493</v>
      </c>
      <c r="C153" s="8">
        <f>B153*12</f>
        <v>29561.09</v>
      </c>
      <c r="D153" s="8">
        <f>B153*2</f>
        <v>4926.85</v>
      </c>
      <c r="E153" s="8">
        <f>C153*9%</f>
        <v>2660.5</v>
      </c>
      <c r="F153" s="8">
        <f>(C153+D153)*8.33%</f>
        <v>2872.85</v>
      </c>
      <c r="G153" s="8">
        <f>B153*0.5</f>
        <v>1231.71</v>
      </c>
      <c r="H153" s="8">
        <f>0</f>
        <v>0.0</v>
      </c>
      <c r="I153" s="8">
        <f>B153*14/12</f>
        <v>2874.0</v>
      </c>
      <c r="J153" s="8">
        <f>SUM(D153:I153)</f>
        <v>14565.9</v>
      </c>
      <c r="K153" s="8">
        <f>C153+J153</f>
        <v>44126.99</v>
      </c>
    </row>
    <row r="154" spans="1:11">
      <c r="A154" s="4" t="s">
        <v>110</v>
      </c>
      <c r="B154" s="8">
        <v>1231.712145364746</v>
      </c>
      <c r="C154" s="8">
        <f>B154*12</f>
        <v>14780.55</v>
      </c>
      <c r="D154" s="8">
        <f>B154*2</f>
        <v>2463.42</v>
      </c>
      <c r="E154" s="8">
        <f>C154*9%</f>
        <v>1330.25</v>
      </c>
      <c r="F154" s="8">
        <f>(C154+D154)*8.33%</f>
        <v>1436.42</v>
      </c>
      <c r="G154" s="8">
        <f>B154*0.5</f>
        <v>615.86</v>
      </c>
      <c r="H154" s="8">
        <f>0</f>
        <v>0.0</v>
      </c>
      <c r="I154" s="8">
        <f>B154*14/12</f>
        <v>1437.0</v>
      </c>
      <c r="J154" s="8">
        <f>SUM(D154:I154)</f>
        <v>7282.95</v>
      </c>
      <c r="K154" s="8">
        <f>C154+J154</f>
        <v>22063.5</v>
      </c>
    </row>
    <row r="155" spans="1:11">
      <c r="A155" s="4" t="s">
        <v>126</v>
      </c>
      <c r="B155" s="8">
        <v>1403.830272</v>
      </c>
      <c r="C155" s="8">
        <f>B155*12</f>
        <v>16845.96</v>
      </c>
      <c r="D155" s="8">
        <f>B155*2</f>
        <v>2807.66</v>
      </c>
      <c r="E155" s="8">
        <f>C155*9%</f>
        <v>1516.14</v>
      </c>
      <c r="F155" s="8">
        <f>(C155+D155)*8.33%</f>
        <v>1637.15</v>
      </c>
      <c r="G155" s="8">
        <f>B155*0.5</f>
        <v>701.92</v>
      </c>
      <c r="H155" s="8">
        <f>0</f>
        <v>0.0</v>
      </c>
      <c r="I155" s="8">
        <f>B155*14/12</f>
        <v>1637.8</v>
      </c>
      <c r="J155" s="8">
        <f>SUM(D155:I155)</f>
        <v>8300.66</v>
      </c>
      <c r="K155" s="8">
        <f>C155+J155</f>
        <v>25146.62</v>
      </c>
    </row>
    <row r="156" spans="1:11">
      <c r="A156" s="7" t="s">
        <v>111</v>
      </c>
      <c r="K156" s="7">
        <f>SUM(K153:K155)</f>
        <v>91337.11</v>
      </c>
    </row>
    <row r="157" spans="1:11">
      <c r="A157" s="2" t="s">
        <v>112</v>
      </c>
    </row>
    <row r="158" spans="1:11">
      <c r="A158" s="4" t="s">
        <v>113</v>
      </c>
      <c r="B158" s="8">
        <v>3421.422626013185</v>
      </c>
      <c r="C158" s="8">
        <f>B158*12</f>
        <v>41057.07</v>
      </c>
      <c r="D158" s="8">
        <f>B158*2</f>
        <v>6842.85</v>
      </c>
      <c r="E158" s="8">
        <f>C158*9%</f>
        <v>3695.14</v>
      </c>
      <c r="F158" s="8">
        <f>(C158+D158)*8.33%</f>
        <v>3990.06</v>
      </c>
      <c r="G158" s="8">
        <f>B158*0.5</f>
        <v>1710.71</v>
      </c>
      <c r="H158" s="8">
        <f>0</f>
        <v>0.0</v>
      </c>
      <c r="I158" s="8">
        <f>B158*14/12</f>
        <v>3991.66</v>
      </c>
      <c r="J158" s="8">
        <f>SUM(D158:I158)</f>
        <v>20230.42</v>
      </c>
      <c r="K158" s="8">
        <f>C158+J158</f>
        <v>61287.49</v>
      </c>
    </row>
    <row r="159" spans="1:11">
      <c r="A159" s="4" t="s">
        <v>114</v>
      </c>
      <c r="B159" s="8">
        <v>1779.139765526856</v>
      </c>
      <c r="C159" s="8">
        <f>B159*12</f>
        <v>21349.68</v>
      </c>
      <c r="D159" s="8">
        <f>B159*2</f>
        <v>3558.28</v>
      </c>
      <c r="E159" s="8">
        <f>C159*9%</f>
        <v>1921.47</v>
      </c>
      <c r="F159" s="8">
        <f>(C159+D159)*8.33%</f>
        <v>2074.83</v>
      </c>
      <c r="G159" s="8">
        <f>B159*0.5</f>
        <v>889.57</v>
      </c>
      <c r="H159" s="8">
        <f>0</f>
        <v>0.0</v>
      </c>
      <c r="I159" s="8">
        <f>B159*14/12</f>
        <v>2075.66</v>
      </c>
      <c r="J159" s="8">
        <f>SUM(D159:I159)</f>
        <v>10519.82</v>
      </c>
      <c r="K159" s="8">
        <f>C159+J159</f>
        <v>31869.49</v>
      </c>
    </row>
    <row r="160" spans="1:11">
      <c r="A160" s="4" t="s">
        <v>120</v>
      </c>
      <c r="B160" s="8">
        <v>2368.677202624513</v>
      </c>
      <c r="C160" s="8">
        <f>B160*12</f>
        <v>28424.13</v>
      </c>
      <c r="D160" s="8">
        <f>B160*2</f>
        <v>4737.35</v>
      </c>
      <c r="E160" s="8">
        <f>C160*9%</f>
        <v>2558.17</v>
      </c>
      <c r="F160" s="8">
        <f>(C160+D160)*8.33%</f>
        <v>2762.35</v>
      </c>
      <c r="G160" s="8">
        <f>B160*0.5</f>
        <v>1184.34</v>
      </c>
      <c r="H160" s="8">
        <f>0</f>
        <v>0.0</v>
      </c>
      <c r="I160" s="8">
        <f>B160*14/12</f>
        <v>2763.46</v>
      </c>
      <c r="J160" s="8">
        <f>SUM(D160:I160)</f>
        <v>14005.67</v>
      </c>
      <c r="K160" s="8">
        <f>C160+J160</f>
        <v>42429.8</v>
      </c>
    </row>
    <row r="161" spans="1:11">
      <c r="A161" s="4" t="s">
        <v>122</v>
      </c>
      <c r="B161" s="8">
        <v>1518.3828221952</v>
      </c>
      <c r="C161" s="8">
        <f>B161*12</f>
        <v>18220.59</v>
      </c>
      <c r="D161" s="8">
        <f>B161*2</f>
        <v>3036.77</v>
      </c>
      <c r="E161" s="8">
        <f>C161*9%</f>
        <v>1639.85</v>
      </c>
      <c r="F161" s="8">
        <f>(C161+D161)*8.33%</f>
        <v>1770.74</v>
      </c>
      <c r="G161" s="8">
        <f>B161*0.5</f>
        <v>759.19</v>
      </c>
      <c r="H161" s="8">
        <f>0</f>
        <v>0.0</v>
      </c>
      <c r="I161" s="8">
        <f>B161*14/12</f>
        <v>1771.45</v>
      </c>
      <c r="J161" s="8">
        <f>SUM(D161:I161)</f>
        <v>8978.0</v>
      </c>
      <c r="K161" s="8">
        <f>C161+J161</f>
        <v>27198.59</v>
      </c>
    </row>
    <row r="162" spans="1:11">
      <c r="A162" s="4" t="s">
        <v>128</v>
      </c>
      <c r="B162" s="8">
        <v>1462.3232</v>
      </c>
      <c r="C162" s="8">
        <f>B162*12</f>
        <v>17547.88</v>
      </c>
      <c r="D162" s="8">
        <f>B162*2</f>
        <v>2924.65</v>
      </c>
      <c r="E162" s="8">
        <f>C162*9%</f>
        <v>1579.31</v>
      </c>
      <c r="F162" s="8">
        <f>(C162+D162)*8.33%</f>
        <v>1705.36</v>
      </c>
      <c r="G162" s="8">
        <f>B162*0.5</f>
        <v>731.16</v>
      </c>
      <c r="H162" s="8">
        <f>0</f>
        <v>0.0</v>
      </c>
      <c r="I162" s="8">
        <f>B162*14/12</f>
        <v>1706.04</v>
      </c>
      <c r="J162" s="8">
        <f>SUM(D162:I162)</f>
        <v>8646.52</v>
      </c>
      <c r="K162" s="8">
        <f>C162+J162</f>
        <v>26194.4</v>
      </c>
    </row>
    <row r="163" spans="1:11">
      <c r="A163" s="4" t="s">
        <v>131</v>
      </c>
      <c r="B163" s="8">
        <v>1560</v>
      </c>
      <c r="C163" s="8">
        <f>B163*12</f>
        <v>18720.0</v>
      </c>
      <c r="D163" s="8">
        <f>B163*2</f>
        <v>3120.0</v>
      </c>
      <c r="E163" s="8">
        <f>C163*9%</f>
        <v>1684.8</v>
      </c>
      <c r="F163" s="8">
        <f>(C163+D163)*8.33%</f>
        <v>1819.27</v>
      </c>
      <c r="G163" s="8">
        <f>B163*0.5</f>
        <v>780.0</v>
      </c>
      <c r="H163" s="8">
        <f>0</f>
        <v>0.0</v>
      </c>
      <c r="I163" s="8">
        <f>B163*14/12</f>
        <v>1820.0</v>
      </c>
      <c r="J163" s="8">
        <f>SUM(D163:I163)</f>
        <v>9224.07</v>
      </c>
      <c r="K163" s="8">
        <f>C163+J163</f>
        <v>27944.07</v>
      </c>
    </row>
    <row r="164" spans="1:11">
      <c r="A164" s="7" t="s">
        <v>115</v>
      </c>
      <c r="K164" s="7">
        <f>SUM(K158:K163)</f>
        <v>216923.84</v>
      </c>
    </row>
    <row r="165" spans="1:11">
      <c r="A165" s="2" t="s">
        <v>116</v>
      </c>
    </row>
    <row r="166" spans="1:11">
      <c r="A166" s="4" t="s">
        <v>117</v>
      </c>
      <c r="B166" s="8">
        <v>2326.567385688966</v>
      </c>
      <c r="C166" s="8">
        <f>B166*12</f>
        <v>27918.81</v>
      </c>
      <c r="D166" s="8">
        <f>B166*2</f>
        <v>4653.13</v>
      </c>
      <c r="E166" s="8">
        <f>C166*9%</f>
        <v>2512.69</v>
      </c>
      <c r="F166" s="8">
        <f>(C166+D166)*8.33%</f>
        <v>2713.24</v>
      </c>
      <c r="G166" s="8">
        <f>B166*0.5</f>
        <v>1163.28</v>
      </c>
      <c r="H166" s="8">
        <f>0</f>
        <v>0.0</v>
      </c>
      <c r="I166" s="8">
        <f>B166*14/12</f>
        <v>2714.33</v>
      </c>
      <c r="J166" s="8">
        <f>SUM(D166:I166)</f>
        <v>13756.68</v>
      </c>
      <c r="K166" s="8">
        <f>C166+J166</f>
        <v>41675.49</v>
      </c>
    </row>
    <row r="167" spans="1:11">
      <c r="A167" s="4" t="s">
        <v>124</v>
      </c>
      <c r="B167" s="8">
        <v>1824.9793536</v>
      </c>
      <c r="C167" s="8">
        <f>B167*12</f>
        <v>21899.75</v>
      </c>
      <c r="D167" s="8">
        <f>B167*2</f>
        <v>3649.96</v>
      </c>
      <c r="E167" s="8">
        <f>C167*9%</f>
        <v>1970.98</v>
      </c>
      <c r="F167" s="8">
        <f>(C167+D167)*8.33%</f>
        <v>2128.29</v>
      </c>
      <c r="G167" s="8">
        <f>B167*0.5</f>
        <v>912.49</v>
      </c>
      <c r="H167" s="8">
        <f>0</f>
        <v>0.0</v>
      </c>
      <c r="I167" s="8">
        <f>B167*14/12</f>
        <v>2129.14</v>
      </c>
      <c r="J167" s="8">
        <f>SUM(D167:I167)</f>
        <v>10790.86</v>
      </c>
      <c r="K167" s="8">
        <f>C167+J167</f>
        <v>32690.61</v>
      </c>
    </row>
    <row r="168" spans="1:11">
      <c r="A168" s="4" t="s">
        <v>132</v>
      </c>
      <c r="B168" s="8">
        <v>1352</v>
      </c>
      <c r="C168" s="8">
        <f>B168*12</f>
        <v>16224.0</v>
      </c>
      <c r="D168" s="8">
        <f>B168*2</f>
        <v>2704.0</v>
      </c>
      <c r="E168" s="8">
        <f>C168*9%</f>
        <v>1460.16</v>
      </c>
      <c r="F168" s="8">
        <f>(C168+D168)*8.33%</f>
        <v>1576.7</v>
      </c>
      <c r="G168" s="8">
        <f>B168*0.5</f>
        <v>676.0</v>
      </c>
      <c r="H168" s="8">
        <f>0</f>
        <v>0.0</v>
      </c>
      <c r="I168" s="8">
        <f>B168*14/12</f>
        <v>1577.33</v>
      </c>
      <c r="J168" s="8">
        <f>SUM(D168:I168)</f>
        <v>7994.2</v>
      </c>
      <c r="K168" s="8">
        <f>C168+J168</f>
        <v>24218.2</v>
      </c>
    </row>
    <row r="169" spans="1:11">
      <c r="A169" s="7" t="s">
        <v>118</v>
      </c>
      <c r="K169" s="7">
        <f>SUM(K166:K168)</f>
        <v>98584.3</v>
      </c>
    </row>
    <row r="172" spans="1:11">
      <c r="A172" s="2" t="s">
        <v>134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3" t="s">
        <v>97</v>
      </c>
      <c r="B173" s="3" t="s">
        <v>98</v>
      </c>
      <c r="C173" s="3" t="s">
        <v>99</v>
      </c>
      <c r="D173" s="3" t="s">
        <v>100</v>
      </c>
      <c r="E173" s="3" t="s">
        <v>101</v>
      </c>
      <c r="F173" s="3" t="s">
        <v>102</v>
      </c>
      <c r="G173" s="3" t="s">
        <v>103</v>
      </c>
      <c r="H173" s="3" t="s">
        <v>104</v>
      </c>
      <c r="I173" s="3" t="s">
        <v>105</v>
      </c>
      <c r="J173" s="3" t="s">
        <v>106</v>
      </c>
      <c r="K173" s="3" t="s">
        <v>107</v>
      </c>
    </row>
    <row r="174" spans="1:11">
      <c r="A174" s="2" t="s">
        <v>108</v>
      </c>
    </row>
    <row r="175" spans="1:11">
      <c r="A175" s="4" t="s">
        <v>109</v>
      </c>
      <c r="B175" s="8">
        <v>2561.961262358673</v>
      </c>
      <c r="C175" s="8">
        <f>B175*12</f>
        <v>30743.54</v>
      </c>
      <c r="D175" s="8">
        <f>B175*2</f>
        <v>5123.92</v>
      </c>
      <c r="E175" s="8">
        <f>C175*9%</f>
        <v>2766.92</v>
      </c>
      <c r="F175" s="8">
        <f>(C175+D175)*8.33%</f>
        <v>2987.76</v>
      </c>
      <c r="G175" s="8">
        <f>B175*0.5</f>
        <v>1280.98</v>
      </c>
      <c r="H175" s="8">
        <f>0</f>
        <v>0.0</v>
      </c>
      <c r="I175" s="8">
        <f>B175*14/12</f>
        <v>2988.95</v>
      </c>
      <c r="J175" s="8">
        <f>SUM(D175:I175)</f>
        <v>15148.54</v>
      </c>
      <c r="K175" s="8">
        <f>C175+J175</f>
        <v>45892.07</v>
      </c>
    </row>
    <row r="176" spans="1:11">
      <c r="A176" s="4" t="s">
        <v>110</v>
      </c>
      <c r="B176" s="8">
        <v>1280.980631179337</v>
      </c>
      <c r="C176" s="8">
        <f>B176*12</f>
        <v>15371.77</v>
      </c>
      <c r="D176" s="8">
        <f>B176*2</f>
        <v>2561.96</v>
      </c>
      <c r="E176" s="8">
        <f>C176*9%</f>
        <v>1383.46</v>
      </c>
      <c r="F176" s="8">
        <f>(C176+D176)*8.33%</f>
        <v>1493.88</v>
      </c>
      <c r="G176" s="8">
        <f>B176*0.5</f>
        <v>640.49</v>
      </c>
      <c r="H176" s="8">
        <f>0</f>
        <v>0.0</v>
      </c>
      <c r="I176" s="8">
        <f>B176*14/12</f>
        <v>1494.48</v>
      </c>
      <c r="J176" s="8">
        <f>SUM(D176:I176)</f>
        <v>7574.27</v>
      </c>
      <c r="K176" s="8">
        <f>C176+J176</f>
        <v>22946.04</v>
      </c>
    </row>
    <row r="177" spans="1:11">
      <c r="A177" s="4" t="s">
        <v>126</v>
      </c>
      <c r="B177" s="8">
        <v>1459.98348288</v>
      </c>
      <c r="C177" s="8">
        <f>B177*12</f>
        <v>17519.8</v>
      </c>
      <c r="D177" s="8">
        <f>B177*2</f>
        <v>2919.97</v>
      </c>
      <c r="E177" s="8">
        <f>C177*9%</f>
        <v>1576.78</v>
      </c>
      <c r="F177" s="8">
        <f>(C177+D177)*8.33%</f>
        <v>1702.63</v>
      </c>
      <c r="G177" s="8">
        <f>B177*0.5</f>
        <v>729.99</v>
      </c>
      <c r="H177" s="8">
        <f>0</f>
        <v>0.0</v>
      </c>
      <c r="I177" s="8">
        <f>B177*14/12</f>
        <v>1703.31</v>
      </c>
      <c r="J177" s="8">
        <f>SUM(D177:I177)</f>
        <v>8632.69</v>
      </c>
      <c r="K177" s="8">
        <f>C177+J177</f>
        <v>26152.49</v>
      </c>
    </row>
    <row r="178" spans="1:11">
      <c r="A178" s="7" t="s">
        <v>111</v>
      </c>
      <c r="K178" s="7">
        <f>SUM(K175:K177)</f>
        <v>94990.6</v>
      </c>
    </row>
    <row r="179" spans="1:11">
      <c r="A179" s="2" t="s">
        <v>112</v>
      </c>
    </row>
    <row r="180" spans="1:11">
      <c r="A180" s="4" t="s">
        <v>113</v>
      </c>
      <c r="B180" s="8">
        <v>3558.279531053713</v>
      </c>
      <c r="C180" s="8">
        <f>B180*12</f>
        <v>42699.35</v>
      </c>
      <c r="D180" s="8">
        <f>B180*2</f>
        <v>7116.56</v>
      </c>
      <c r="E180" s="8">
        <f>C180*9%</f>
        <v>3842.94</v>
      </c>
      <c r="F180" s="8">
        <f>(C180+D180)*8.33%</f>
        <v>4149.67</v>
      </c>
      <c r="G180" s="8">
        <f>B180*0.5</f>
        <v>1779.14</v>
      </c>
      <c r="H180" s="8">
        <f>0</f>
        <v>0.0</v>
      </c>
      <c r="I180" s="8">
        <f>B180*14/12</f>
        <v>4151.33</v>
      </c>
      <c r="J180" s="8">
        <f>SUM(D180:I180)</f>
        <v>21039.63</v>
      </c>
      <c r="K180" s="8">
        <f>C180+J180</f>
        <v>63738.99</v>
      </c>
    </row>
    <row r="181" spans="1:11">
      <c r="A181" s="4" t="s">
        <v>114</v>
      </c>
      <c r="B181" s="8">
        <v>1850.305356147931</v>
      </c>
      <c r="C181" s="8">
        <f>B181*12</f>
        <v>22203.66</v>
      </c>
      <c r="D181" s="8">
        <f>B181*2</f>
        <v>3700.61</v>
      </c>
      <c r="E181" s="8">
        <f>C181*9%</f>
        <v>1998.33</v>
      </c>
      <c r="F181" s="8">
        <f>(C181+D181)*8.33%</f>
        <v>2157.83</v>
      </c>
      <c r="G181" s="8">
        <f>B181*0.5</f>
        <v>925.15</v>
      </c>
      <c r="H181" s="8">
        <f>0</f>
        <v>0.0</v>
      </c>
      <c r="I181" s="8">
        <f>B181*14/12</f>
        <v>2158.69</v>
      </c>
      <c r="J181" s="8">
        <f>SUM(D181:I181)</f>
        <v>10940.61</v>
      </c>
      <c r="K181" s="8">
        <f>C181+J181</f>
        <v>33144.27</v>
      </c>
    </row>
    <row r="182" spans="1:11">
      <c r="A182" s="4" t="s">
        <v>120</v>
      </c>
      <c r="B182" s="8">
        <v>2463.424290729493</v>
      </c>
      <c r="C182" s="8">
        <f>B182*12</f>
        <v>29561.09</v>
      </c>
      <c r="D182" s="8">
        <f>B182*2</f>
        <v>4926.85</v>
      </c>
      <c r="E182" s="8">
        <f>C182*9%</f>
        <v>2660.5</v>
      </c>
      <c r="F182" s="8">
        <f>(C182+D182)*8.33%</f>
        <v>2872.85</v>
      </c>
      <c r="G182" s="8">
        <f>B182*0.5</f>
        <v>1231.71</v>
      </c>
      <c r="H182" s="8">
        <f>0</f>
        <v>0.0</v>
      </c>
      <c r="I182" s="8">
        <f>B182*14/12</f>
        <v>2874.0</v>
      </c>
      <c r="J182" s="8">
        <f>SUM(D182:I182)</f>
        <v>14565.9</v>
      </c>
      <c r="K182" s="8">
        <f>C182+J182</f>
        <v>44126.99</v>
      </c>
    </row>
    <row r="183" spans="1:11">
      <c r="A183" s="4" t="s">
        <v>122</v>
      </c>
      <c r="B183" s="8">
        <v>1579.118135083008</v>
      </c>
      <c r="C183" s="8">
        <f>B183*12</f>
        <v>18949.42</v>
      </c>
      <c r="D183" s="8">
        <f>B183*2</f>
        <v>3158.24</v>
      </c>
      <c r="E183" s="8">
        <f>C183*9%</f>
        <v>1705.45</v>
      </c>
      <c r="F183" s="8">
        <f>(C183+D183)*8.33%</f>
        <v>1841.57</v>
      </c>
      <c r="G183" s="8">
        <f>B183*0.5</f>
        <v>789.56</v>
      </c>
      <c r="H183" s="8">
        <f>0</f>
        <v>0.0</v>
      </c>
      <c r="I183" s="8">
        <f>B183*14/12</f>
        <v>1842.3</v>
      </c>
      <c r="J183" s="8">
        <f>SUM(D183:I183)</f>
        <v>9337.11</v>
      </c>
      <c r="K183" s="8">
        <f>C183+J183</f>
        <v>28286.53</v>
      </c>
    </row>
    <row r="184" spans="1:11">
      <c r="A184" s="4" t="s">
        <v>128</v>
      </c>
      <c r="B184" s="8">
        <v>1520.816128</v>
      </c>
      <c r="C184" s="8">
        <f>B184*12</f>
        <v>18249.79</v>
      </c>
      <c r="D184" s="8">
        <f>B184*2</f>
        <v>3041.63</v>
      </c>
      <c r="E184" s="8">
        <f>C184*9%</f>
        <v>1642.48</v>
      </c>
      <c r="F184" s="8">
        <f>(C184+D184)*8.33%</f>
        <v>1773.58</v>
      </c>
      <c r="G184" s="8">
        <f>B184*0.5</f>
        <v>760.41</v>
      </c>
      <c r="H184" s="8">
        <f>0</f>
        <v>0.0</v>
      </c>
      <c r="I184" s="8">
        <f>B184*14/12</f>
        <v>1774.29</v>
      </c>
      <c r="J184" s="8">
        <f>SUM(D184:I184)</f>
        <v>8992.38</v>
      </c>
      <c r="K184" s="8">
        <f>C184+J184</f>
        <v>27242.18</v>
      </c>
    </row>
    <row r="185" spans="1:11">
      <c r="A185" s="4" t="s">
        <v>131</v>
      </c>
      <c r="B185" s="8">
        <v>1622.4</v>
      </c>
      <c r="C185" s="8">
        <f>B185*12</f>
        <v>19468.8</v>
      </c>
      <c r="D185" s="8">
        <f>B185*2</f>
        <v>3244.8</v>
      </c>
      <c r="E185" s="8">
        <f>C185*9%</f>
        <v>1752.19</v>
      </c>
      <c r="F185" s="8">
        <f>(C185+D185)*8.33%</f>
        <v>1892.04</v>
      </c>
      <c r="G185" s="8">
        <f>B185*0.5</f>
        <v>811.2</v>
      </c>
      <c r="H185" s="8">
        <f>0</f>
        <v>0.0</v>
      </c>
      <c r="I185" s="8">
        <f>B185*14/12</f>
        <v>1892.8</v>
      </c>
      <c r="J185" s="8">
        <f>SUM(D185:I185)</f>
        <v>9593.03</v>
      </c>
      <c r="K185" s="8">
        <f>C185+J185</f>
        <v>29061.83</v>
      </c>
    </row>
    <row r="186" spans="1:11">
      <c r="A186" s="7" t="s">
        <v>115</v>
      </c>
      <c r="K186" s="7">
        <f>SUM(K180:K185)</f>
        <v>225600.79</v>
      </c>
    </row>
    <row r="187" spans="1:11">
      <c r="A187" s="2" t="s">
        <v>116</v>
      </c>
    </row>
    <row r="188" spans="1:11">
      <c r="A188" s="4" t="s">
        <v>117</v>
      </c>
      <c r="B188" s="8">
        <v>2419.630081116524</v>
      </c>
      <c r="C188" s="8">
        <f>B188*12</f>
        <v>29035.56</v>
      </c>
      <c r="D188" s="8">
        <f>B188*2</f>
        <v>4839.26</v>
      </c>
      <c r="E188" s="8">
        <f>C188*9%</f>
        <v>2613.2</v>
      </c>
      <c r="F188" s="8">
        <f>(C188+D188)*8.33%</f>
        <v>2821.77</v>
      </c>
      <c r="G188" s="8">
        <f>B188*0.5</f>
        <v>1209.82</v>
      </c>
      <c r="H188" s="8">
        <f>0</f>
        <v>0.0</v>
      </c>
      <c r="I188" s="8">
        <f>B188*14/12</f>
        <v>2822.9</v>
      </c>
      <c r="J188" s="8">
        <f>SUM(D188:I188)</f>
        <v>14306.95</v>
      </c>
      <c r="K188" s="8">
        <f>C188+J188</f>
        <v>43342.51</v>
      </c>
    </row>
    <row r="189" spans="1:11">
      <c r="A189" s="4" t="s">
        <v>124</v>
      </c>
      <c r="B189" s="8">
        <v>1897.978527744001</v>
      </c>
      <c r="C189" s="8">
        <f>B189*12</f>
        <v>22775.74</v>
      </c>
      <c r="D189" s="8">
        <f>B189*2</f>
        <v>3795.96</v>
      </c>
      <c r="E189" s="8">
        <f>C189*9%</f>
        <v>2049.82</v>
      </c>
      <c r="F189" s="8">
        <f>(C189+D189)*8.33%</f>
        <v>2213.42</v>
      </c>
      <c r="G189" s="8">
        <f>B189*0.5</f>
        <v>948.99</v>
      </c>
      <c r="H189" s="8">
        <f>0</f>
        <v>0.0</v>
      </c>
      <c r="I189" s="8">
        <f>B189*14/12</f>
        <v>2214.31</v>
      </c>
      <c r="J189" s="8">
        <f>SUM(D189:I189)</f>
        <v>11222.49</v>
      </c>
      <c r="K189" s="8">
        <f>C189+J189</f>
        <v>33998.24</v>
      </c>
    </row>
    <row r="190" spans="1:11">
      <c r="A190" s="4" t="s">
        <v>132</v>
      </c>
      <c r="B190" s="8">
        <v>1406.08</v>
      </c>
      <c r="C190" s="8">
        <f>B190*12</f>
        <v>16872.96</v>
      </c>
      <c r="D190" s="8">
        <f>B190*2</f>
        <v>2812.16</v>
      </c>
      <c r="E190" s="8">
        <f>C190*9%</f>
        <v>1518.57</v>
      </c>
      <c r="F190" s="8">
        <f>(C190+D190)*8.33%</f>
        <v>1639.77</v>
      </c>
      <c r="G190" s="8">
        <f>B190*0.5</f>
        <v>703.04</v>
      </c>
      <c r="H190" s="8">
        <f>0</f>
        <v>0.0</v>
      </c>
      <c r="I190" s="8">
        <f>B190*14/12</f>
        <v>1640.43</v>
      </c>
      <c r="J190" s="8">
        <f>SUM(D190:I190)</f>
        <v>8313.96</v>
      </c>
      <c r="K190" s="8">
        <f>C190+J190</f>
        <v>25186.92</v>
      </c>
    </row>
    <row r="191" spans="1:11">
      <c r="A191" s="7" t="s">
        <v>118</v>
      </c>
      <c r="K191" s="7">
        <f>SUM(K188:K190)</f>
        <v>102527.67</v>
      </c>
    </row>
  </sheetData>
  <mergeCells count="11">
    <mergeCell ref="A1:L1"/>
    <mergeCell ref="A3:K3"/>
    <mergeCell ref="A18:K18"/>
    <mergeCell ref="A34:K34"/>
    <mergeCell ref="A51:K51"/>
    <mergeCell ref="A69:K69"/>
    <mergeCell ref="A88:K88"/>
    <mergeCell ref="A108:K108"/>
    <mergeCell ref="A128:K128"/>
    <mergeCell ref="A150:K150"/>
    <mergeCell ref="A172:K1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3" width="13.7109375" customWidth="1"/>
  </cols>
  <sheetData>
    <row r="1" spans="1:13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2" t="s">
        <v>136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3">
      <c r="A5" s="4" t="s">
        <v>137</v>
      </c>
      <c r="B5" s="8">
        <v>30451.87</v>
      </c>
      <c r="C5" s="8">
        <v>31669.95</v>
      </c>
      <c r="D5" s="8">
        <v>32936.75</v>
      </c>
      <c r="E5" s="8">
        <v>61123.52</v>
      </c>
      <c r="F5" s="8">
        <v>63568.46</v>
      </c>
      <c r="G5" s="8">
        <v>66111.19</v>
      </c>
      <c r="H5" s="8">
        <v>68755.64</v>
      </c>
      <c r="I5" s="8">
        <v>94792.60000000001</v>
      </c>
      <c r="J5" s="8">
        <v>98584.3</v>
      </c>
      <c r="K5" s="8">
        <v>102527.67</v>
      </c>
    </row>
    <row r="6" spans="1:13">
      <c r="A6" s="4" t="s">
        <v>138</v>
      </c>
      <c r="B6" s="8">
        <f>'INGRESOS'!B19*2.5%</f>
        <v>10319.4</v>
      </c>
      <c r="C6" s="8">
        <f>'INGRESOS'!C19*2.5%</f>
        <v>4321.06</v>
      </c>
      <c r="D6" s="8">
        <f>'INGRESOS'!D19*2.5%</f>
        <v>10546.19</v>
      </c>
      <c r="E6" s="8">
        <f>'INGRESOS'!E19*2.5%</f>
        <v>12763.93</v>
      </c>
      <c r="F6" s="8">
        <f>'INGRESOS'!F19*2.5%</f>
        <v>17091.98</v>
      </c>
      <c r="G6" s="8">
        <f>'INGRESOS'!G19*2.5%</f>
        <v>26041.14</v>
      </c>
      <c r="H6" s="8">
        <f>'INGRESOS'!H19*2.5%</f>
        <v>33219.27</v>
      </c>
      <c r="I6" s="8">
        <f>'INGRESOS'!I19*2.5%</f>
        <v>35167.18</v>
      </c>
      <c r="J6" s="8">
        <f>'INGRESOS'!J19*2.5%</f>
        <v>49420.6</v>
      </c>
      <c r="K6" s="8">
        <f>'INGRESOS'!K19*2.5%</f>
        <v>53252.7</v>
      </c>
    </row>
    <row r="7" spans="1:13">
      <c r="A7" s="4" t="s">
        <v>139</v>
      </c>
      <c r="B7" s="8">
        <f>16000*(1.04^0)</f>
        <v>16000.0</v>
      </c>
      <c r="C7" s="8">
        <f>16000*(1.04^1)</f>
        <v>16640.0</v>
      </c>
      <c r="D7" s="8">
        <f>16000*(1.04^2)</f>
        <v>17305.6</v>
      </c>
      <c r="E7" s="8">
        <f>16000*(1.04^3)</f>
        <v>17997.82</v>
      </c>
      <c r="F7" s="8">
        <f>16000*(1.04^4)</f>
        <v>18717.74</v>
      </c>
      <c r="G7" s="8">
        <f>16000*(1.04^5)</f>
        <v>19466.45</v>
      </c>
      <c r="H7" s="8">
        <f>16000*(1.04^6)</f>
        <v>20245.1</v>
      </c>
      <c r="I7" s="8">
        <f>16000*(1.04^7)</f>
        <v>21054.91</v>
      </c>
      <c r="J7" s="8">
        <f>16000*(1.04^8)</f>
        <v>21897.1</v>
      </c>
      <c r="K7" s="8">
        <f>16000*(1.04^9)</f>
        <v>22772.99</v>
      </c>
    </row>
    <row r="8" spans="1:13">
      <c r="A8" s="7" t="s">
        <v>140</v>
      </c>
      <c r="B8" s="7">
        <f>SUM(B5,B6,B7)</f>
        <v>56771.27</v>
      </c>
      <c r="C8" s="7">
        <f>SUM(C5,C6,C7)</f>
        <v>52631.0</v>
      </c>
      <c r="D8" s="7">
        <f>SUM(D5,D6,D7)</f>
        <v>60788.54</v>
      </c>
      <c r="E8" s="7">
        <f>SUM(E5,E6,E7)</f>
        <v>91885.27</v>
      </c>
      <c r="F8" s="7">
        <f>SUM(F5,F6,F7)</f>
        <v>99378.17</v>
      </c>
      <c r="G8" s="7">
        <f>SUM(G5,G6,G7)</f>
        <v>111618.78</v>
      </c>
      <c r="H8" s="7">
        <f>SUM(H5,H6,H7)</f>
        <v>122220.01</v>
      </c>
      <c r="I8" s="7">
        <f>SUM(I5,I6,I7)</f>
        <v>151014.68</v>
      </c>
      <c r="J8" s="7">
        <f>SUM(J5,J6,J7)</f>
        <v>169902.0</v>
      </c>
      <c r="K8" s="7">
        <f>SUM(K5,K6,K7)</f>
        <v>178553.36</v>
      </c>
    </row>
    <row r="10" spans="1:13">
      <c r="A10" s="2" t="s">
        <v>141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3">
      <c r="A11" s="3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</row>
    <row r="12" spans="1:13">
      <c r="A12" s="4" t="s">
        <v>142</v>
      </c>
      <c r="B12" s="8">
        <v>48364.74</v>
      </c>
      <c r="C12" s="8">
        <v>50299.33</v>
      </c>
      <c r="D12" s="8">
        <v>52311.3</v>
      </c>
      <c r="E12" s="8">
        <v>54403.75</v>
      </c>
      <c r="F12" s="8">
        <v>78075.35000000001</v>
      </c>
      <c r="G12" s="8">
        <v>81198.36</v>
      </c>
      <c r="H12" s="8">
        <v>84446.28999999999</v>
      </c>
      <c r="I12" s="8">
        <v>87824.14</v>
      </c>
      <c r="J12" s="8">
        <v>91337.11</v>
      </c>
      <c r="K12" s="8">
        <v>94990.60000000001</v>
      </c>
    </row>
    <row r="13" spans="1:13">
      <c r="A13" s="4" t="s">
        <v>143</v>
      </c>
      <c r="B13" s="8">
        <v>16000</v>
      </c>
      <c r="C13" s="8">
        <v>16640</v>
      </c>
      <c r="D13" s="8">
        <v>17305.6</v>
      </c>
      <c r="E13" s="8">
        <v>17997.82</v>
      </c>
      <c r="F13" s="8">
        <v>18717.74</v>
      </c>
      <c r="G13" s="8">
        <v>19466.45</v>
      </c>
      <c r="H13" s="8">
        <v>20245.1</v>
      </c>
      <c r="I13" s="8">
        <v>21054.91</v>
      </c>
      <c r="J13" s="8">
        <v>21897.1</v>
      </c>
      <c r="K13" s="8">
        <v>22772.99</v>
      </c>
    </row>
    <row r="14" spans="1:13">
      <c r="A14" s="4" t="s">
        <v>144</v>
      </c>
      <c r="B14" s="8">
        <f>'DEPRECIACIONES AMORTIZACION'!B11*40%+'DEPRECIACIONES AMORTIZACION'!B23</f>
        <v>36080.0</v>
      </c>
      <c r="C14" s="8">
        <f>'DEPRECIACIONES AMORTIZACION'!C11*40%+'DEPRECIACIONES AMORTIZACION'!C23</f>
        <v>36080.0</v>
      </c>
      <c r="D14" s="8">
        <f>'DEPRECIACIONES AMORTIZACION'!D11*40%+'DEPRECIACIONES AMORTIZACION'!D23</f>
        <v>36080.0</v>
      </c>
      <c r="E14" s="8">
        <f>'DEPRECIACIONES AMORTIZACION'!E11*40%+'DEPRECIACIONES AMORTIZACION'!E23</f>
        <v>36080.0</v>
      </c>
      <c r="F14" s="8">
        <f>'DEPRECIACIONES AMORTIZACION'!F11*40%+'DEPRECIACIONES AMORTIZACION'!F23</f>
        <v>31280.0</v>
      </c>
      <c r="G14" s="8">
        <f>'DEPRECIACIONES AMORTIZACION'!G11*40%+'DEPRECIACIONES AMORTIZACION'!G23</f>
        <v>720.0</v>
      </c>
      <c r="H14" s="8">
        <f>'DEPRECIACIONES AMORTIZACION'!H11*40%+'DEPRECIACIONES AMORTIZACION'!H23</f>
        <v>720.0</v>
      </c>
      <c r="I14" s="8">
        <f>'DEPRECIACIONES AMORTIZACION'!I11*40%+'DEPRECIACIONES AMORTIZACION'!I23</f>
        <v>720.0</v>
      </c>
      <c r="J14" s="8">
        <f>'DEPRECIACIONES AMORTIZACION'!J11*40%+'DEPRECIACIONES AMORTIZACION'!J23</f>
        <v>720.0</v>
      </c>
      <c r="K14" s="8">
        <f>'DEPRECIACIONES AMORTIZACION'!K11*40%+'DEPRECIACIONES AMORTIZACION'!K23</f>
        <v>720.0</v>
      </c>
    </row>
    <row r="15" spans="1:13">
      <c r="A15" s="7" t="s">
        <v>145</v>
      </c>
      <c r="B15" s="7">
        <f>SUM(B12,B13,B14)</f>
        <v>100444.74</v>
      </c>
      <c r="C15" s="7">
        <f>SUM(C12,C13,C14)</f>
        <v>103019.33</v>
      </c>
      <c r="D15" s="7">
        <f>SUM(D12,D13,D14)</f>
        <v>105696.9</v>
      </c>
      <c r="E15" s="7">
        <f>SUM(E12,E13,E14)</f>
        <v>108481.58</v>
      </c>
      <c r="F15" s="7">
        <f>SUM(F12,F13,F14)</f>
        <v>128073.08</v>
      </c>
      <c r="G15" s="7">
        <f>SUM(G12,G13,G14)</f>
        <v>101384.81</v>
      </c>
      <c r="H15" s="7">
        <f>SUM(H12,H13,H14)</f>
        <v>105411.4</v>
      </c>
      <c r="I15" s="7">
        <f>SUM(I12,I13,I14)</f>
        <v>109599.05</v>
      </c>
      <c r="J15" s="7">
        <f>SUM(J12,J13,J14)</f>
        <v>113954.22</v>
      </c>
      <c r="K15" s="7">
        <f>SUM(K12,K13,K14)</f>
        <v>118483.58</v>
      </c>
    </row>
    <row r="17" spans="1:11">
      <c r="A17" s="2" t="s">
        <v>146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11</v>
      </c>
      <c r="K18" s="3" t="s">
        <v>12</v>
      </c>
    </row>
    <row r="19" spans="1:11">
      <c r="A19" s="4" t="s">
        <v>147</v>
      </c>
      <c r="B19" s="8">
        <f>180000.0</f>
        <v>180000.0</v>
      </c>
      <c r="C19" s="8">
        <f>B23</f>
        <v>180000.0</v>
      </c>
      <c r="D19" s="8">
        <f>C23</f>
        <v>180000.0</v>
      </c>
      <c r="E19" s="8">
        <f>D23</f>
        <v>160936.18</v>
      </c>
      <c r="F19" s="8">
        <f>E23</f>
        <v>138440.87</v>
      </c>
      <c r="G19" s="8">
        <f>F23</f>
        <v>111896.4</v>
      </c>
      <c r="H19" s="8">
        <f>G23</f>
        <v>80573.93</v>
      </c>
      <c r="I19" s="8">
        <f>H23</f>
        <v>43613.41</v>
      </c>
      <c r="J19" s="8">
        <f>I23</f>
        <v>0.0</v>
      </c>
      <c r="K19" s="8">
        <f>J23</f>
        <v>0.0</v>
      </c>
    </row>
    <row r="20" spans="1:11">
      <c r="A20" s="4" t="s">
        <v>148</v>
      </c>
      <c r="B20" s="8">
        <f>B19*0.18</f>
        <v>32400.0</v>
      </c>
      <c r="C20" s="8">
        <f>C19*0.18</f>
        <v>32400.0</v>
      </c>
      <c r="D20" s="8">
        <f>D19*0.18</f>
        <v>32400.0</v>
      </c>
      <c r="E20" s="8">
        <f>E19*0.18</f>
        <v>28968.51</v>
      </c>
      <c r="F20" s="8">
        <f>F19*0.18</f>
        <v>24919.36</v>
      </c>
      <c r="G20" s="8">
        <f>G19*0.18</f>
        <v>20141.35</v>
      </c>
      <c r="H20" s="8">
        <f>H19*0.18</f>
        <v>14503.31</v>
      </c>
      <c r="I20" s="8">
        <f>I19*0.18</f>
        <v>7850.41</v>
      </c>
      <c r="J20" s="8">
        <f>J19*0.18</f>
        <v>0.0</v>
      </c>
      <c r="K20" s="8">
        <f>K19*0.18</f>
        <v>0.0</v>
      </c>
    </row>
    <row r="21" spans="1:11">
      <c r="A21" s="4" t="s">
        <v>149</v>
      </c>
      <c r="B21" s="8">
        <f>IF(COLUMN(B1)-COLUMN($B$1)+1&lt;=2,0,IF(COLUMN(B1)-COLUMN($B$1)+1&lt;=8,MIN(PMT(0.18,6,-180000.0)-B20,B19),0))</f>
        <v>0.0</v>
      </c>
      <c r="C21" s="8">
        <f>IF(COLUMN(C1)-COLUMN($B$1)+1&lt;=2,0,IF(COLUMN(C1)-COLUMN($B$1)+1&lt;=8,MIN(PMT(0.18,6,-180000.0)-C20,C19),0))</f>
        <v>0.0</v>
      </c>
      <c r="D21" s="8">
        <f>IF(COLUMN(D1)-COLUMN($B$1)+1&lt;=2,0,IF(COLUMN(D1)-COLUMN($B$1)+1&lt;=8,MIN(PMT(0.18,6,-180000.0)-D20,D19),0))</f>
        <v>19063.82</v>
      </c>
      <c r="E21" s="8">
        <f>IF(COLUMN(E1)-COLUMN($B$1)+1&lt;=2,0,IF(COLUMN(E1)-COLUMN($B$1)+1&lt;=8,MIN(PMT(0.18,6,-180000.0)-E20,E19),0))</f>
        <v>22495.31</v>
      </c>
      <c r="F21" s="8">
        <f>IF(COLUMN(F1)-COLUMN($B$1)+1&lt;=2,0,IF(COLUMN(F1)-COLUMN($B$1)+1&lt;=8,MIN(PMT(0.18,6,-180000.0)-F20,F19),0))</f>
        <v>26544.47</v>
      </c>
      <c r="G21" s="8">
        <f>IF(COLUMN(G1)-COLUMN($B$1)+1&lt;=2,0,IF(COLUMN(G1)-COLUMN($B$1)+1&lt;=8,MIN(PMT(0.18,6,-180000.0)-G20,G19),0))</f>
        <v>31322.47</v>
      </c>
      <c r="H21" s="8">
        <f>IF(COLUMN(H1)-COLUMN($B$1)+1&lt;=2,0,IF(COLUMN(H1)-COLUMN($B$1)+1&lt;=8,MIN(PMT(0.18,6,-180000.0)-H20,H19),0))</f>
        <v>36960.52</v>
      </c>
      <c r="I21" s="8">
        <f>IF(COLUMN(I1)-COLUMN($B$1)+1&lt;=2,0,IF(COLUMN(I1)-COLUMN($B$1)+1&lt;=8,MIN(PMT(0.18,6,-180000.0)-I20,I19),0))</f>
        <v>43613.41</v>
      </c>
      <c r="J21" s="8">
        <f>IF(COLUMN(J1)-COLUMN($B$1)+1&lt;=2,0,IF(COLUMN(J1)-COLUMN($B$1)+1&lt;=8,MIN(PMT(0.18,6,-180000.0)-J20,J19),0))</f>
        <v>0.0</v>
      </c>
      <c r="K21" s="8">
        <f>IF(COLUMN(K1)-COLUMN($B$1)+1&lt;=2,0,IF(COLUMN(K1)-COLUMN($B$1)+1&lt;=8,MIN(PMT(0.18,6,-180000.0)-K20,K19),0))</f>
        <v>0.0</v>
      </c>
    </row>
    <row r="22" spans="1:11">
      <c r="A22" s="7" t="s">
        <v>150</v>
      </c>
      <c r="B22" s="7">
        <f>SUM(B20,B21)</f>
        <v>32400.0</v>
      </c>
      <c r="C22" s="7">
        <f>SUM(C20,C21)</f>
        <v>32400.0</v>
      </c>
      <c r="D22" s="7">
        <f>SUM(D20,D21)</f>
        <v>51463.82</v>
      </c>
      <c r="E22" s="7">
        <f>SUM(E20,E21)</f>
        <v>51463.82</v>
      </c>
      <c r="F22" s="7">
        <f>SUM(F20,F21)</f>
        <v>51463.82</v>
      </c>
      <c r="G22" s="7">
        <f>SUM(G20,G21)</f>
        <v>51463.82</v>
      </c>
      <c r="H22" s="7">
        <f>SUM(H20,H21)</f>
        <v>51463.82</v>
      </c>
      <c r="I22" s="7">
        <f>SUM(I20,I21)</f>
        <v>51463.82</v>
      </c>
      <c r="J22" s="7">
        <f>SUM(J20,J21)</f>
        <v>0.0</v>
      </c>
      <c r="K22" s="7">
        <f>SUM(K20,K21)</f>
        <v>0.0</v>
      </c>
    </row>
    <row r="23" spans="1:11">
      <c r="A23" s="4" t="s">
        <v>151</v>
      </c>
      <c r="B23" s="8">
        <f>MAX(0,B19-B21)</f>
        <v>180000.0</v>
      </c>
      <c r="C23" s="8">
        <f>MAX(0,C19-C21)</f>
        <v>180000.0</v>
      </c>
      <c r="D23" s="8">
        <f>MAX(0,D19-D21)</f>
        <v>160936.18</v>
      </c>
      <c r="E23" s="8">
        <f>MAX(0,E19-E21)</f>
        <v>138440.87</v>
      </c>
      <c r="F23" s="8">
        <f>MAX(0,F19-F21)</f>
        <v>111896.4</v>
      </c>
      <c r="G23" s="8">
        <f>MAX(0,G19-G21)</f>
        <v>80573.93</v>
      </c>
      <c r="H23" s="8">
        <f>MAX(0,H19-H21)</f>
        <v>43613.41</v>
      </c>
      <c r="I23" s="8">
        <f>MAX(0,I19-I21)</f>
        <v>0.0</v>
      </c>
      <c r="J23" s="8">
        <f>MAX(0,J19-J21)</f>
        <v>0.0</v>
      </c>
      <c r="K23" s="8">
        <f>MAX(0,K19-K21)</f>
        <v>0.0</v>
      </c>
    </row>
    <row r="25" spans="1:11">
      <c r="A25" s="12" t="s">
        <v>152</v>
      </c>
    </row>
  </sheetData>
  <mergeCells count="4">
    <mergeCell ref="A1:M1"/>
    <mergeCell ref="A3:K3"/>
    <mergeCell ref="A10:K10"/>
    <mergeCell ref="A17:K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4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154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2">
      <c r="A4" s="3" t="s">
        <v>155</v>
      </c>
      <c r="B4" s="3" t="s">
        <v>156</v>
      </c>
      <c r="C4" s="3" t="s">
        <v>157</v>
      </c>
    </row>
    <row r="5" spans="1:12">
      <c r="A5" s="4" t="s">
        <v>158</v>
      </c>
      <c r="B5" s="8">
        <v>48000</v>
      </c>
      <c r="C5" s="5">
        <v>4</v>
      </c>
    </row>
    <row r="6" spans="1:12">
      <c r="A6" s="4" t="s">
        <v>159</v>
      </c>
      <c r="B6" s="8">
        <v>32000</v>
      </c>
      <c r="C6" s="5">
        <v>5</v>
      </c>
    </row>
    <row r="7" spans="1:12">
      <c r="A7" s="4" t="s">
        <v>160</v>
      </c>
      <c r="B7" s="8">
        <v>20000</v>
      </c>
      <c r="C7" s="5">
        <v>5</v>
      </c>
    </row>
    <row r="8" spans="1:12">
      <c r="A8" s="4" t="s">
        <v>161</v>
      </c>
      <c r="B8" s="8">
        <v>18000</v>
      </c>
      <c r="C8" s="5">
        <v>10</v>
      </c>
    </row>
    <row r="10" spans="1:12">
      <c r="A10" s="3" t="s">
        <v>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  <c r="J10" s="3" t="s">
        <v>11</v>
      </c>
      <c r="K10" s="3" t="s">
        <v>12</v>
      </c>
    </row>
    <row r="11" spans="1:12">
      <c r="A11" s="4" t="s">
        <v>162</v>
      </c>
      <c r="B11" s="8">
        <f>IF(1&lt;=$C$5,$B$5/$C$5,0)+IF(1&lt;=$C$6,$B$6/$C$6,0)+IF(1&lt;=$C$7,$B$7/$C$7,0)+IF(1&lt;=$C$8,$B$8/$C$8,0)</f>
        <v>24200.0</v>
      </c>
      <c r="C11" s="8">
        <f>IF(2&lt;=$C$5,$B$5/$C$5,0)+IF(2&lt;=$C$6,$B$6/$C$6,0)+IF(2&lt;=$C$7,$B$7/$C$7,0)+IF(2&lt;=$C$8,$B$8/$C$8,0)</f>
        <v>24200.0</v>
      </c>
      <c r="D11" s="8">
        <f>IF(3&lt;=$C$5,$B$5/$C$5,0)+IF(3&lt;=$C$6,$B$6/$C$6,0)+IF(3&lt;=$C$7,$B$7/$C$7,0)+IF(3&lt;=$C$8,$B$8/$C$8,0)</f>
        <v>24200.0</v>
      </c>
      <c r="E11" s="8">
        <f>IF(4&lt;=$C$5,$B$5/$C$5,0)+IF(4&lt;=$C$6,$B$6/$C$6,0)+IF(4&lt;=$C$7,$B$7/$C$7,0)+IF(4&lt;=$C$8,$B$8/$C$8,0)</f>
        <v>24200.0</v>
      </c>
      <c r="F11" s="8">
        <f>IF(5&lt;=$C$5,$B$5/$C$5,0)+IF(5&lt;=$C$6,$B$6/$C$6,0)+IF(5&lt;=$C$7,$B$7/$C$7,0)+IF(5&lt;=$C$8,$B$8/$C$8,0)</f>
        <v>12200.0</v>
      </c>
      <c r="G11" s="8">
        <f>IF(6&lt;=$C$5,$B$5/$C$5,0)+IF(6&lt;=$C$6,$B$6/$C$6,0)+IF(6&lt;=$C$7,$B$7/$C$7,0)+IF(6&lt;=$C$8,$B$8/$C$8,0)</f>
        <v>1800.0</v>
      </c>
      <c r="H11" s="8">
        <f>IF(7&lt;=$C$5,$B$5/$C$5,0)+IF(7&lt;=$C$6,$B$6/$C$6,0)+IF(7&lt;=$C$7,$B$7/$C$7,0)+IF(7&lt;=$C$8,$B$8/$C$8,0)</f>
        <v>1800.0</v>
      </c>
      <c r="I11" s="8">
        <f>IF(8&lt;=$C$5,$B$5/$C$5,0)+IF(8&lt;=$C$6,$B$6/$C$6,0)+IF(8&lt;=$C$7,$B$7/$C$7,0)+IF(8&lt;=$C$8,$B$8/$C$8,0)</f>
        <v>1800.0</v>
      </c>
      <c r="J11" s="8">
        <f>IF(9&lt;=$C$5,$B$5/$C$5,0)+IF(9&lt;=$C$6,$B$6/$C$6,0)+IF(9&lt;=$C$7,$B$7/$C$7,0)+IF(9&lt;=$C$8,$B$8/$C$8,0)</f>
        <v>1800.0</v>
      </c>
      <c r="K11" s="8">
        <f>IF(10&lt;=$C$5,$B$5/$C$5,0)+IF(10&lt;=$C$6,$B$6/$C$6,0)+IF(10&lt;=$C$7,$B$7/$C$7,0)+IF(10&lt;=$C$8,$B$8/$C$8,0)</f>
        <v>1800.0</v>
      </c>
    </row>
    <row r="12" spans="1:12">
      <c r="A12" s="7" t="s">
        <v>163</v>
      </c>
      <c r="B12" s="7">
        <f>MAX(0,SUM($B$5:$B$8)-SUM($B$11:B11))</f>
        <v>93800.0</v>
      </c>
      <c r="C12" s="7">
        <f>MAX(0,SUM($B$5:$B$8)-SUM($B$11:C11))</f>
        <v>69600.0</v>
      </c>
      <c r="D12" s="7">
        <f>MAX(0,SUM($B$5:$B$8)-SUM($B$11:D11))</f>
        <v>45400.0</v>
      </c>
      <c r="E12" s="7">
        <f>MAX(0,SUM($B$5:$B$8)-SUM($B$11:E11))</f>
        <v>21200.0</v>
      </c>
      <c r="F12" s="7">
        <f>MAX(0,SUM($B$5:$B$8)-SUM($B$11:F11))</f>
        <v>9000.0</v>
      </c>
      <c r="G12" s="7">
        <f>MAX(0,SUM($B$5:$B$8)-SUM($B$11:G11))</f>
        <v>7200.0</v>
      </c>
      <c r="H12" s="7">
        <f>MAX(0,SUM($B$5:$B$8)-SUM($B$11:H11))</f>
        <v>5400.0</v>
      </c>
      <c r="I12" s="7">
        <f>MAX(0,SUM($B$5:$B$8)-SUM($B$11:I11))</f>
        <v>3600.0</v>
      </c>
      <c r="J12" s="7">
        <f>MAX(0,SUM($B$5:$B$8)-SUM($B$11:J11))</f>
        <v>1800.0</v>
      </c>
      <c r="K12" s="7">
        <f>MAX(0,SUM($B$5:$B$8)-SUM($B$11:K11))</f>
        <v>0.0</v>
      </c>
    </row>
    <row r="15" spans="1:12">
      <c r="A15" s="2" t="s">
        <v>164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>
      <c r="A16" s="3" t="s">
        <v>155</v>
      </c>
      <c r="B16" s="3" t="s">
        <v>156</v>
      </c>
      <c r="C16" s="3" t="s">
        <v>157</v>
      </c>
    </row>
    <row r="17" spans="1:11">
      <c r="A17" s="4" t="s">
        <v>165</v>
      </c>
      <c r="B17" s="8">
        <v>8000</v>
      </c>
      <c r="C17" s="5">
        <v>5</v>
      </c>
    </row>
    <row r="18" spans="1:11">
      <c r="A18" s="4" t="s">
        <v>166</v>
      </c>
      <c r="B18" s="8">
        <v>90000</v>
      </c>
      <c r="C18" s="5">
        <v>5</v>
      </c>
    </row>
    <row r="19" spans="1:11">
      <c r="A19" s="4" t="s">
        <v>167</v>
      </c>
      <c r="B19" s="8">
        <v>22000</v>
      </c>
      <c r="C19" s="5">
        <v>5</v>
      </c>
    </row>
    <row r="20" spans="1:11">
      <c r="A20" s="4" t="s">
        <v>168</v>
      </c>
      <c r="B20" s="8">
        <v>12000</v>
      </c>
      <c r="C20" s="5">
        <v>5</v>
      </c>
    </row>
    <row r="22" spans="1:11">
      <c r="A22" s="3" t="s">
        <v>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9</v>
      </c>
      <c r="I22" s="3" t="s">
        <v>10</v>
      </c>
      <c r="J22" s="3" t="s">
        <v>11</v>
      </c>
      <c r="K22" s="3" t="s">
        <v>12</v>
      </c>
    </row>
    <row r="23" spans="1:11">
      <c r="A23" s="4" t="s">
        <v>169</v>
      </c>
      <c r="B23" s="8">
        <f>IF(1&lt;=$C$17,$B$17/$C$17,0)+IF(1&lt;=$C$18,$B$18/$C$18,0)+IF(1&lt;=$C$19,$B$19/$C$19,0)+IF(1&lt;=$C$20,$B$20/$C$20,0)</f>
        <v>26400.0</v>
      </c>
      <c r="C23" s="8">
        <f>IF(2&lt;=$C$17,$B$17/$C$17,0)+IF(2&lt;=$C$18,$B$18/$C$18,0)+IF(2&lt;=$C$19,$B$19/$C$19,0)+IF(2&lt;=$C$20,$B$20/$C$20,0)</f>
        <v>26400.0</v>
      </c>
      <c r="D23" s="8">
        <f>IF(3&lt;=$C$17,$B$17/$C$17,0)+IF(3&lt;=$C$18,$B$18/$C$18,0)+IF(3&lt;=$C$19,$B$19/$C$19,0)+IF(3&lt;=$C$20,$B$20/$C$20,0)</f>
        <v>26400.0</v>
      </c>
      <c r="E23" s="8">
        <f>IF(4&lt;=$C$17,$B$17/$C$17,0)+IF(4&lt;=$C$18,$B$18/$C$18,0)+IF(4&lt;=$C$19,$B$19/$C$19,0)+IF(4&lt;=$C$20,$B$20/$C$20,0)</f>
        <v>26400.0</v>
      </c>
      <c r="F23" s="8">
        <f>IF(5&lt;=$C$17,$B$17/$C$17,0)+IF(5&lt;=$C$18,$B$18/$C$18,0)+IF(5&lt;=$C$19,$B$19/$C$19,0)+IF(5&lt;=$C$20,$B$20/$C$20,0)</f>
        <v>26400.0</v>
      </c>
      <c r="G23" s="8">
        <f>IF(6&lt;=$C$17,$B$17/$C$17,0)+IF(6&lt;=$C$18,$B$18/$C$18,0)+IF(6&lt;=$C$19,$B$19/$C$19,0)+IF(6&lt;=$C$20,$B$20/$C$20,0)</f>
        <v>0.0</v>
      </c>
      <c r="H23" s="8">
        <f>IF(7&lt;=$C$17,$B$17/$C$17,0)+IF(7&lt;=$C$18,$B$18/$C$18,0)+IF(7&lt;=$C$19,$B$19/$C$19,0)+IF(7&lt;=$C$20,$B$20/$C$20,0)</f>
        <v>0.0</v>
      </c>
      <c r="I23" s="8">
        <f>IF(8&lt;=$C$17,$B$17/$C$17,0)+IF(8&lt;=$C$18,$B$18/$C$18,0)+IF(8&lt;=$C$19,$B$19/$C$19,0)+IF(8&lt;=$C$20,$B$20/$C$20,0)</f>
        <v>0.0</v>
      </c>
      <c r="J23" s="8">
        <f>IF(9&lt;=$C$17,$B$17/$C$17,0)+IF(9&lt;=$C$18,$B$18/$C$18,0)+IF(9&lt;=$C$19,$B$19/$C$19,0)+IF(9&lt;=$C$20,$B$20/$C$20,0)</f>
        <v>0.0</v>
      </c>
      <c r="K23" s="8">
        <f>IF(10&lt;=$C$17,$B$17/$C$17,0)+IF(10&lt;=$C$18,$B$18/$C$18,0)+IF(10&lt;=$C$19,$B$19/$C$19,0)+IF(10&lt;=$C$20,$B$20/$C$20,0)</f>
        <v>0.0</v>
      </c>
    </row>
    <row r="24" spans="1:11">
      <c r="A24" s="7" t="s">
        <v>170</v>
      </c>
      <c r="B24" s="7">
        <f>MAX(0,SUM($B$17:$B$20)-SUM($B$23:B23))</f>
        <v>105600.0</v>
      </c>
      <c r="C24" s="7">
        <f>MAX(0,SUM($B$17:$B$20)-SUM($B$23:C23))</f>
        <v>79200.0</v>
      </c>
      <c r="D24" s="7">
        <f>MAX(0,SUM($B$17:$B$20)-SUM($B$23:D23))</f>
        <v>52800.0</v>
      </c>
      <c r="E24" s="7">
        <f>MAX(0,SUM($B$17:$B$20)-SUM($B$23:E23))</f>
        <v>26400.0</v>
      </c>
      <c r="F24" s="7">
        <f>MAX(0,SUM($B$17:$B$20)-SUM($B$23:F23))</f>
        <v>0.0</v>
      </c>
      <c r="G24" s="7">
        <f>MAX(0,SUM($B$17:$B$20)-SUM($B$23:G23))</f>
        <v>0.0</v>
      </c>
      <c r="H24" s="7">
        <f>MAX(0,SUM($B$17:$B$20)-SUM($B$23:H23))</f>
        <v>0.0</v>
      </c>
      <c r="I24" s="7">
        <f>MAX(0,SUM($B$17:$B$20)-SUM($B$23:I23))</f>
        <v>0.0</v>
      </c>
      <c r="J24" s="7">
        <f>MAX(0,SUM($B$17:$B$20)-SUM($B$23:J23))</f>
        <v>0.0</v>
      </c>
      <c r="K24" s="7">
        <f>MAX(0,SUM($B$17:$B$20)-SUM($B$23:K23))</f>
        <v>0.0</v>
      </c>
    </row>
  </sheetData>
  <mergeCells count="3">
    <mergeCell ref="A1:L1"/>
    <mergeCell ref="A3:K3"/>
    <mergeCell ref="A15:K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7" width="13.7109375" customWidth="1"/>
  </cols>
  <sheetData>
    <row r="1" spans="1:7">
      <c r="A1" s="1" t="s">
        <v>171</v>
      </c>
      <c r="B1" s="1"/>
      <c r="C1" s="1"/>
      <c r="D1" s="1"/>
      <c r="E1" s="1"/>
      <c r="F1" s="1"/>
      <c r="G1" s="1"/>
    </row>
    <row r="4" spans="1:7">
      <c r="A4" s="3" t="s">
        <v>2</v>
      </c>
      <c r="B4" s="3" t="s">
        <v>172</v>
      </c>
      <c r="C4" s="3" t="s">
        <v>173</v>
      </c>
    </row>
    <row r="5" spans="1:7">
      <c r="A5" s="4" t="s">
        <v>174</v>
      </c>
      <c r="B5" s="8">
        <v>118000</v>
      </c>
      <c r="C5" s="11" t="s">
        <v>175</v>
      </c>
    </row>
    <row r="6" spans="1:7">
      <c r="A6" s="4" t="s">
        <v>176</v>
      </c>
      <c r="B6" s="8">
        <v>132000</v>
      </c>
      <c r="C6" s="11" t="s">
        <v>177</v>
      </c>
    </row>
    <row r="7" spans="1:7">
      <c r="A7" s="4" t="s">
        <v>178</v>
      </c>
      <c r="B7" s="8">
        <v>50000</v>
      </c>
      <c r="C7" s="11" t="s">
        <v>179</v>
      </c>
    </row>
    <row r="8" spans="1:7">
      <c r="A8" s="7" t="s">
        <v>180</v>
      </c>
      <c r="B8" s="7">
        <f>SUM(B5:B7)</f>
        <v>300000.0</v>
      </c>
      <c r="C8" s="11" t="s">
        <v>181</v>
      </c>
    </row>
    <row r="9" spans="1:7">
      <c r="A9" s="4" t="s">
        <v>182</v>
      </c>
      <c r="B9" s="8">
        <f>B8*0.4</f>
        <v>120000.0</v>
      </c>
      <c r="C9" s="11" t="s">
        <v>183</v>
      </c>
    </row>
    <row r="10" spans="1:7">
      <c r="A10" s="4" t="s">
        <v>184</v>
      </c>
      <c r="B10" s="8">
        <f>B8*0.6</f>
        <v>180000.0</v>
      </c>
      <c r="C10" s="11" t="s">
        <v>185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5" width="13.7109375" customWidth="1"/>
  </cols>
  <sheetData>
    <row r="1" spans="1:5">
      <c r="A1" s="1" t="s">
        <v>186</v>
      </c>
      <c r="B1" s="1"/>
      <c r="C1" s="1"/>
      <c r="D1" s="1"/>
      <c r="E1" s="1"/>
    </row>
    <row r="4" spans="1:5">
      <c r="A4" s="2" t="s">
        <v>187</v>
      </c>
      <c r="B4" s="2"/>
      <c r="C4" s="2"/>
    </row>
    <row r="5" spans="1:5">
      <c r="A5" s="4" t="s">
        <v>188</v>
      </c>
      <c r="B5" s="8">
        <v>50000</v>
      </c>
      <c r="C5" s="11" t="s">
        <v>189</v>
      </c>
    </row>
    <row r="6" spans="1:5">
      <c r="A6" s="4" t="s">
        <v>190</v>
      </c>
      <c r="B6" s="8">
        <v>118000</v>
      </c>
      <c r="C6" s="11" t="s">
        <v>191</v>
      </c>
    </row>
    <row r="7" spans="1:5">
      <c r="A7" s="4" t="s">
        <v>176</v>
      </c>
      <c r="B7" s="8">
        <v>132000</v>
      </c>
      <c r="C7" s="11" t="s">
        <v>192</v>
      </c>
    </row>
    <row r="8" spans="1:5">
      <c r="A8" s="7" t="s">
        <v>193</v>
      </c>
      <c r="B8" s="7">
        <f>SUM(B5:B7)</f>
        <v>300000.0</v>
      </c>
      <c r="C8" s="11"/>
    </row>
    <row r="9" spans="1:5">
      <c r="A9" s="2" t="s">
        <v>194</v>
      </c>
      <c r="B9" s="2"/>
      <c r="C9" s="2"/>
    </row>
    <row r="10" spans="1:5">
      <c r="A10" s="4" t="s">
        <v>195</v>
      </c>
      <c r="B10" s="8">
        <v>180000</v>
      </c>
      <c r="C10" s="11" t="s">
        <v>196</v>
      </c>
    </row>
    <row r="11" spans="1:5">
      <c r="A11" s="2" t="s">
        <v>197</v>
      </c>
      <c r="B11" s="2"/>
      <c r="C11" s="2"/>
    </row>
    <row r="12" spans="1:5">
      <c r="A12" s="4" t="s">
        <v>198</v>
      </c>
      <c r="B12" s="8">
        <v>120000</v>
      </c>
      <c r="C12" s="11" t="s">
        <v>182</v>
      </c>
    </row>
    <row r="13" spans="1:5">
      <c r="A13" s="7" t="s">
        <v>199</v>
      </c>
      <c r="B13" s="7">
        <f>B10+B12</f>
        <v>300000.0</v>
      </c>
      <c r="C13" s="11"/>
    </row>
  </sheetData>
  <mergeCells count="4">
    <mergeCell ref="A1:E1"/>
    <mergeCell ref="A4:C4"/>
    <mergeCell ref="A9:C9"/>
    <mergeCell ref="A11:C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9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2">
      <c r="A5" s="4" t="s">
        <v>201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 spans="1:12">
      <c r="A6" s="4" t="s">
        <v>202</v>
      </c>
      <c r="B6" s="8">
        <f>'COSTO DE PRODUCCION UNITARIO'!B8</f>
        <v>214626.89</v>
      </c>
      <c r="C6" s="8">
        <f>'COSTO DE PRODUCCION UNITARIO'!C8</f>
        <v>200589.93</v>
      </c>
      <c r="D6" s="8">
        <f>'COSTO DE PRODUCCION UNITARIO'!D8</f>
        <v>289460.08</v>
      </c>
      <c r="E6" s="8">
        <f>'COSTO DE PRODUCCION UNITARIO'!E8</f>
        <v>320156.3</v>
      </c>
      <c r="F6" s="8">
        <f>'COSTO DE PRODUCCION UNITARIO'!F8</f>
        <v>364176.76</v>
      </c>
      <c r="G6" s="8">
        <f>'COSTO DE PRODUCCION UNITARIO'!G8</f>
        <v>483828.89</v>
      </c>
      <c r="H6" s="8">
        <f>'COSTO DE PRODUCCION UNITARIO'!H8</f>
        <v>567110.77</v>
      </c>
      <c r="I6" s="8">
        <f>'COSTO DE PRODUCCION UNITARIO'!I8</f>
        <v>624153.32</v>
      </c>
      <c r="J6" s="8">
        <f>'COSTO DE PRODUCCION UNITARIO'!J8</f>
        <v>783885.67</v>
      </c>
      <c r="K6" s="8">
        <f>'COSTO DE PRODUCCION UNITARIO'!K8</f>
        <v>836290.85</v>
      </c>
    </row>
    <row r="7" spans="1:12">
      <c r="A7" s="4">
        <f> Producto disponible para la venta</f>
        <v>0</v>
      </c>
      <c r="B7" s="8">
        <f>SUM(B5,B6)</f>
        <v>214626.89</v>
      </c>
      <c r="C7" s="8">
        <f>SUM(C5,C6)</f>
        <v>200589.93</v>
      </c>
      <c r="D7" s="8">
        <f>SUM(D5,D6)</f>
        <v>289460.08</v>
      </c>
      <c r="E7" s="8">
        <f>SUM(E5,E6)</f>
        <v>320156.3</v>
      </c>
      <c r="F7" s="8">
        <f>SUM(F5,F6)</f>
        <v>364176.76</v>
      </c>
      <c r="G7" s="8">
        <f>SUM(G5,G6)</f>
        <v>483828.89</v>
      </c>
      <c r="H7" s="8">
        <f>SUM(H5,H6)</f>
        <v>567110.77</v>
      </c>
      <c r="I7" s="8">
        <f>SUM(I5,I6)</f>
        <v>624153.32</v>
      </c>
      <c r="J7" s="8">
        <f>SUM(J5,J6)</f>
        <v>783885.67</v>
      </c>
      <c r="K7" s="8">
        <f>SUM(K5,K6)</f>
        <v>836290.85</v>
      </c>
    </row>
    <row r="8" spans="1:12">
      <c r="A8" s="4" t="s">
        <v>203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</row>
    <row r="9" spans="1:12">
      <c r="A9" s="7">
        <f> Costo de venta</f>
        <v>0</v>
      </c>
      <c r="B9" s="7">
        <f>B7-B8</f>
        <v>214626.89</v>
      </c>
      <c r="C9" s="7">
        <f>C7-C8</f>
        <v>200589.93</v>
      </c>
      <c r="D9" s="7">
        <f>D7-D8</f>
        <v>289460.08</v>
      </c>
      <c r="E9" s="7">
        <f>E7-E8</f>
        <v>320156.3</v>
      </c>
      <c r="F9" s="7">
        <f>F7-F8</f>
        <v>364176.76</v>
      </c>
      <c r="G9" s="7">
        <f>G7-G8</f>
        <v>483828.89</v>
      </c>
      <c r="H9" s="7">
        <f>H7-H8</f>
        <v>567110.77</v>
      </c>
      <c r="I9" s="7">
        <f>I7-I8</f>
        <v>624153.32</v>
      </c>
      <c r="J9" s="7">
        <f>J7-J8</f>
        <v>783885.67</v>
      </c>
      <c r="K9" s="7">
        <f>K7-K8</f>
        <v>836290.85</v>
      </c>
    </row>
  </sheetData>
  <mergeCells count="1">
    <mergeCell ref="A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7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2">
      <c r="A5" s="4" t="s">
        <v>205</v>
      </c>
      <c r="B5" s="8">
        <f>'INGRESOS'!B19</f>
        <v>412776.0</v>
      </c>
      <c r="C5" s="8">
        <f>'INGRESOS'!C19</f>
        <v>172842.24</v>
      </c>
      <c r="D5" s="8">
        <f>'INGRESOS'!D19</f>
        <v>421847.79</v>
      </c>
      <c r="E5" s="8">
        <f>'INGRESOS'!E19</f>
        <v>510557.02</v>
      </c>
      <c r="F5" s="8">
        <f>'INGRESOS'!F19</f>
        <v>683679.07</v>
      </c>
      <c r="G5" s="8">
        <f>'INGRESOS'!G19</f>
        <v>1041645.71</v>
      </c>
      <c r="H5" s="8">
        <f>'INGRESOS'!H19</f>
        <v>1328770.66</v>
      </c>
      <c r="I5" s="8">
        <f>'INGRESOS'!I19</f>
        <v>1406687.21</v>
      </c>
      <c r="J5" s="8">
        <f>'INGRESOS'!J19</f>
        <v>1976823.87</v>
      </c>
      <c r="K5" s="8">
        <f>'INGRESOS'!K19</f>
        <v>2130107.83</v>
      </c>
    </row>
    <row r="6" spans="1:12">
      <c r="A6" s="4" t="s">
        <v>206</v>
      </c>
      <c r="B6" s="8">
        <f>'COSTO DE VENTA'!B9</f>
        <v>214626.89</v>
      </c>
      <c r="C6" s="8">
        <f>'COSTO DE VENTA'!C9</f>
        <v>200589.93</v>
      </c>
      <c r="D6" s="8">
        <f>'COSTO DE VENTA'!D9</f>
        <v>289460.08</v>
      </c>
      <c r="E6" s="8">
        <f>'COSTO DE VENTA'!E9</f>
        <v>320156.3</v>
      </c>
      <c r="F6" s="8">
        <f>'COSTO DE VENTA'!F9</f>
        <v>364176.76</v>
      </c>
      <c r="G6" s="8">
        <f>'COSTO DE VENTA'!G9</f>
        <v>483828.89</v>
      </c>
      <c r="H6" s="8">
        <f>'COSTO DE VENTA'!H9</f>
        <v>567110.77</v>
      </c>
      <c r="I6" s="8">
        <f>'COSTO DE VENTA'!I9</f>
        <v>624153.32</v>
      </c>
      <c r="J6" s="8">
        <f>'COSTO DE VENTA'!J9</f>
        <v>783885.67</v>
      </c>
      <c r="K6" s="8">
        <f>'COSTO DE VENTA'!K9</f>
        <v>836290.85</v>
      </c>
    </row>
    <row r="7" spans="1:12">
      <c r="A7" s="7" t="s">
        <v>207</v>
      </c>
      <c r="B7" s="7">
        <f>B5-B6</f>
        <v>198149.11</v>
      </c>
      <c r="C7" s="7">
        <f>C5-C6</f>
        <v>-27747.69</v>
      </c>
      <c r="D7" s="7">
        <f>D5-D6</f>
        <v>132387.71</v>
      </c>
      <c r="E7" s="7">
        <f>E5-E6</f>
        <v>190400.72</v>
      </c>
      <c r="F7" s="7">
        <f>F5-F6</f>
        <v>319502.31</v>
      </c>
      <c r="G7" s="7">
        <f>G5-G6</f>
        <v>557816.82</v>
      </c>
      <c r="H7" s="7">
        <f>H5-H6</f>
        <v>761659.89</v>
      </c>
      <c r="I7" s="7">
        <f>I5-I6</f>
        <v>782533.89</v>
      </c>
      <c r="J7" s="7">
        <f>J5-J6</f>
        <v>1192938.2</v>
      </c>
      <c r="K7" s="7">
        <f>K5-K6</f>
        <v>1293816.98</v>
      </c>
    </row>
    <row r="8" spans="1:12">
      <c r="A8" s="4" t="s">
        <v>208</v>
      </c>
      <c r="B8" s="8">
        <f>B9+B10</f>
        <v>157216.01</v>
      </c>
      <c r="C8" s="8">
        <f>C9+C10</f>
        <v>155650.33</v>
      </c>
      <c r="D8" s="8">
        <f>D9+D10</f>
        <v>166485.44</v>
      </c>
      <c r="E8" s="8">
        <f>E9+E10</f>
        <v>200366.84</v>
      </c>
      <c r="F8" s="8">
        <f>F9+F10</f>
        <v>227451.25</v>
      </c>
      <c r="G8" s="8">
        <f>G9+G10</f>
        <v>213003.59</v>
      </c>
      <c r="H8" s="8">
        <f>H9+H10</f>
        <v>227631.41</v>
      </c>
      <c r="I8" s="8">
        <f>I9+I10</f>
        <v>260613.74</v>
      </c>
      <c r="J8" s="8">
        <f>J9+J10</f>
        <v>283856.22</v>
      </c>
      <c r="K8" s="8">
        <f>K9+K10</f>
        <v>297036.94</v>
      </c>
    </row>
    <row r="9" spans="1:12">
      <c r="A9" s="4" t="s">
        <v>209</v>
      </c>
      <c r="B9" s="8">
        <f>'GASTOS_ADM_VTAS_FINANZAS'!B8</f>
        <v>56771.27</v>
      </c>
      <c r="C9" s="8">
        <f>'GASTOS_ADM_VTAS_FINANZAS'!C8</f>
        <v>52631.0</v>
      </c>
      <c r="D9" s="8">
        <f>'GASTOS_ADM_VTAS_FINANZAS'!D8</f>
        <v>60788.54</v>
      </c>
      <c r="E9" s="8">
        <f>'GASTOS_ADM_VTAS_FINANZAS'!E8</f>
        <v>91885.27</v>
      </c>
      <c r="F9" s="8">
        <f>'GASTOS_ADM_VTAS_FINANZAS'!F8</f>
        <v>99378.17</v>
      </c>
      <c r="G9" s="8">
        <f>'GASTOS_ADM_VTAS_FINANZAS'!G8</f>
        <v>111618.78</v>
      </c>
      <c r="H9" s="8">
        <f>'GASTOS_ADM_VTAS_FINANZAS'!H8</f>
        <v>122220.01</v>
      </c>
      <c r="I9" s="8">
        <f>'GASTOS_ADM_VTAS_FINANZAS'!I8</f>
        <v>151014.68</v>
      </c>
      <c r="J9" s="8">
        <f>'GASTOS_ADM_VTAS_FINANZAS'!J8</f>
        <v>169902.0</v>
      </c>
      <c r="K9" s="8">
        <f>'GASTOS_ADM_VTAS_FINANZAS'!K8</f>
        <v>178553.36</v>
      </c>
    </row>
    <row r="10" spans="1:12">
      <c r="A10" s="4" t="s">
        <v>210</v>
      </c>
      <c r="B10" s="8">
        <f>'GASTOS_ADM_VTAS_FINANZAS'!B15</f>
        <v>100444.74</v>
      </c>
      <c r="C10" s="8">
        <f>'GASTOS_ADM_VTAS_FINANZAS'!C15</f>
        <v>103019.33</v>
      </c>
      <c r="D10" s="8">
        <f>'GASTOS_ADM_VTAS_FINANZAS'!D15</f>
        <v>105696.9</v>
      </c>
      <c r="E10" s="8">
        <f>'GASTOS_ADM_VTAS_FINANZAS'!E15</f>
        <v>108481.58</v>
      </c>
      <c r="F10" s="8">
        <f>'GASTOS_ADM_VTAS_FINANZAS'!F15</f>
        <v>128073.08</v>
      </c>
      <c r="G10" s="8">
        <f>'GASTOS_ADM_VTAS_FINANZAS'!G15</f>
        <v>101384.81</v>
      </c>
      <c r="H10" s="8">
        <f>'GASTOS_ADM_VTAS_FINANZAS'!H15</f>
        <v>105411.4</v>
      </c>
      <c r="I10" s="8">
        <f>'GASTOS_ADM_VTAS_FINANZAS'!I15</f>
        <v>109599.05</v>
      </c>
      <c r="J10" s="8">
        <f>'GASTOS_ADM_VTAS_FINANZAS'!J15</f>
        <v>113954.22</v>
      </c>
      <c r="K10" s="8">
        <f>'GASTOS_ADM_VTAS_FINANZAS'!K15</f>
        <v>118483.58</v>
      </c>
    </row>
    <row r="11" spans="1:12">
      <c r="A11" s="7" t="s">
        <v>211</v>
      </c>
      <c r="B11" s="7">
        <f>B7-B8</f>
        <v>40933.09</v>
      </c>
      <c r="C11" s="7">
        <f>C7-C8</f>
        <v>-183398.02</v>
      </c>
      <c r="D11" s="7">
        <f>D7-D8</f>
        <v>-34097.73</v>
      </c>
      <c r="E11" s="7">
        <f>E7-E8</f>
        <v>-9966.12</v>
      </c>
      <c r="F11" s="7">
        <f>F7-F8</f>
        <v>92051.05</v>
      </c>
      <c r="G11" s="7">
        <f>G7-G8</f>
        <v>344813.23</v>
      </c>
      <c r="H11" s="7">
        <f>H7-H8</f>
        <v>534028.48</v>
      </c>
      <c r="I11" s="7">
        <f>I7-I8</f>
        <v>521920.15</v>
      </c>
      <c r="J11" s="7">
        <f>J7-J8</f>
        <v>909081.98</v>
      </c>
      <c r="K11" s="7">
        <f>K7-K8</f>
        <v>996780.04</v>
      </c>
    </row>
    <row r="12" spans="1:12">
      <c r="A12" s="4" t="s">
        <v>212</v>
      </c>
      <c r="B12" s="8">
        <f>'GASTOS_ADM_VTAS_FINANZAS'!B20</f>
        <v>32400.0</v>
      </c>
      <c r="C12" s="8">
        <f>'GASTOS_ADM_VTAS_FINANZAS'!C20</f>
        <v>32400.0</v>
      </c>
      <c r="D12" s="8">
        <f>'GASTOS_ADM_VTAS_FINANZAS'!D20</f>
        <v>32400.0</v>
      </c>
      <c r="E12" s="8">
        <f>'GASTOS_ADM_VTAS_FINANZAS'!E20</f>
        <v>28968.51</v>
      </c>
      <c r="F12" s="8">
        <f>'GASTOS_ADM_VTAS_FINANZAS'!F20</f>
        <v>24919.36</v>
      </c>
      <c r="G12" s="8">
        <f>'GASTOS_ADM_VTAS_FINANZAS'!G20</f>
        <v>20141.35</v>
      </c>
      <c r="H12" s="8">
        <f>'GASTOS_ADM_VTAS_FINANZAS'!H20</f>
        <v>14503.31</v>
      </c>
      <c r="I12" s="8">
        <f>'GASTOS_ADM_VTAS_FINANZAS'!I20</f>
        <v>7850.41</v>
      </c>
      <c r="J12" s="8">
        <f>'GASTOS_ADM_VTAS_FINANZAS'!J20</f>
        <v>0.0</v>
      </c>
      <c r="K12" s="8">
        <f>'GASTOS_ADM_VTAS_FINANZAS'!K20</f>
        <v>0.0</v>
      </c>
    </row>
    <row r="13" spans="1:12">
      <c r="A13" s="4" t="s">
        <v>213</v>
      </c>
      <c r="B13" s="8">
        <f>B11-B12</f>
        <v>8533.09</v>
      </c>
      <c r="C13" s="8">
        <f>C11-C12</f>
        <v>-215798.02</v>
      </c>
      <c r="D13" s="8">
        <f>D11-D12</f>
        <v>-66497.73</v>
      </c>
      <c r="E13" s="8">
        <f>E11-E12</f>
        <v>-38934.63</v>
      </c>
      <c r="F13" s="8">
        <f>F11-F12</f>
        <v>67131.7</v>
      </c>
      <c r="G13" s="8">
        <f>G11-G12</f>
        <v>324671.88</v>
      </c>
      <c r="H13" s="8">
        <f>H11-H12</f>
        <v>519525.18</v>
      </c>
      <c r="I13" s="8">
        <f>I11-I12</f>
        <v>514069.74</v>
      </c>
      <c r="J13" s="8">
        <f>J11-J12</f>
        <v>909081.98</v>
      </c>
      <c r="K13" s="8">
        <f>K11-K12</f>
        <v>996780.04</v>
      </c>
    </row>
    <row r="14" spans="1:12">
      <c r="A14" s="4" t="s">
        <v>214</v>
      </c>
      <c r="B14" s="8">
        <f>MAX(0,B13*0.295)</f>
        <v>2517.26</v>
      </c>
      <c r="C14" s="8">
        <f>MAX(0,C13*0.295)</f>
        <v>0.0</v>
      </c>
      <c r="D14" s="8">
        <f>MAX(0,D13*0.295)</f>
        <v>0.0</v>
      </c>
      <c r="E14" s="8">
        <f>MAX(0,E13*0.295)</f>
        <v>0.0</v>
      </c>
      <c r="F14" s="8">
        <f>MAX(0,F13*0.295)</f>
        <v>19803.85</v>
      </c>
      <c r="G14" s="8">
        <f>MAX(0,G13*0.295)</f>
        <v>95778.2</v>
      </c>
      <c r="H14" s="8">
        <f>MAX(0,H13*0.295)</f>
        <v>153259.93</v>
      </c>
      <c r="I14" s="8">
        <f>MAX(0,I13*0.295)</f>
        <v>151650.57</v>
      </c>
      <c r="J14" s="8">
        <f>MAX(0,J13*0.295)</f>
        <v>268179.18</v>
      </c>
      <c r="K14" s="8">
        <f>MAX(0,K13*0.295)</f>
        <v>294050.11</v>
      </c>
    </row>
    <row r="15" spans="1:12">
      <c r="A15" s="7" t="s">
        <v>215</v>
      </c>
      <c r="B15" s="7">
        <f>B13-B14</f>
        <v>6015.83</v>
      </c>
      <c r="C15" s="7">
        <f>C13-C14</f>
        <v>-215798.02</v>
      </c>
      <c r="D15" s="7">
        <f>D13-D14</f>
        <v>-66497.73</v>
      </c>
      <c r="E15" s="7">
        <f>E13-E14</f>
        <v>-38934.63</v>
      </c>
      <c r="F15" s="7">
        <f>F13-F14</f>
        <v>47327.85</v>
      </c>
      <c r="G15" s="7">
        <f>G13-G14</f>
        <v>228893.68</v>
      </c>
      <c r="H15" s="7">
        <f>H13-H14</f>
        <v>366265.25</v>
      </c>
      <c r="I15" s="7">
        <f>I13-I14</f>
        <v>362419.17</v>
      </c>
      <c r="J15" s="7">
        <f>J13-J14</f>
        <v>640902.8</v>
      </c>
      <c r="K15" s="7">
        <f>K13-K14</f>
        <v>702729.93</v>
      </c>
    </row>
    <row r="16" spans="1:12">
      <c r="A16" s="4" t="s">
        <v>216</v>
      </c>
      <c r="B16" s="8">
        <f>MIN(MAX(0,B15*10%),24000.0)</f>
        <v>601.58</v>
      </c>
      <c r="C16" s="8">
        <f>MIN(MAX(0,C15*10%),MAX(0,24000.0-SUM($B$16:B16)))</f>
        <v>0.0</v>
      </c>
      <c r="D16" s="8">
        <f>MIN(MAX(0,D15*10%),MAX(0,24000.0-SUM($B$16:C16)))</f>
        <v>0.0</v>
      </c>
      <c r="E16" s="8">
        <f>MIN(MAX(0,E15*10%),MAX(0,24000.0-SUM($B$16:D16)))</f>
        <v>0.0</v>
      </c>
      <c r="F16" s="8">
        <f>MIN(MAX(0,F15*10%),MAX(0,24000.0-SUM($B$16:E16)))</f>
        <v>4732.78</v>
      </c>
      <c r="G16" s="8">
        <f>MIN(MAX(0,G15*10%),MAX(0,24000.0-SUM($B$16:F16)))</f>
        <v>18665.63</v>
      </c>
      <c r="H16" s="8">
        <f>MIN(MAX(0,H15*10%),MAX(0,24000.0-SUM($B$16:G16)))</f>
        <v>0.0</v>
      </c>
      <c r="I16" s="8">
        <f>MIN(MAX(0,I15*10%),MAX(0,24000.0-SUM($B$16:H16)))</f>
        <v>0.0</v>
      </c>
      <c r="J16" s="8">
        <f>MIN(MAX(0,J15*10%),MAX(0,24000.0-SUM($B$16:I16)))</f>
        <v>0.0</v>
      </c>
      <c r="K16" s="8">
        <f>MIN(MAX(0,K15*10%),MAX(0,24000.0-SUM($B$16:J16)))</f>
        <v>0.0</v>
      </c>
    </row>
    <row r="17" spans="1:11">
      <c r="A17" s="7" t="s">
        <v>217</v>
      </c>
      <c r="B17" s="7">
        <f>B15-B16</f>
        <v>5414.25</v>
      </c>
      <c r="C17" s="7">
        <f>C15-C16</f>
        <v>-215798.02</v>
      </c>
      <c r="D17" s="7">
        <f>D15-D16</f>
        <v>-66497.73</v>
      </c>
      <c r="E17" s="7">
        <f>E15-E16</f>
        <v>-38934.63</v>
      </c>
      <c r="F17" s="7">
        <f>F15-F16</f>
        <v>42595.06</v>
      </c>
      <c r="G17" s="7">
        <f>G15-G16</f>
        <v>210228.04</v>
      </c>
      <c r="H17" s="7">
        <f>H15-H16</f>
        <v>366265.25</v>
      </c>
      <c r="I17" s="7">
        <f>I15-I16</f>
        <v>362419.17</v>
      </c>
      <c r="J17" s="7">
        <f>J15-J16</f>
        <v>640902.8</v>
      </c>
      <c r="K17" s="7">
        <f>K15-K16</f>
        <v>702729.93</v>
      </c>
    </row>
  </sheetData>
  <mergeCells count="1">
    <mergeCell ref="A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0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</v>
      </c>
      <c r="B4" s="3" t="s">
        <v>219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>
      <c r="A5" s="2" t="s">
        <v>220</v>
      </c>
    </row>
    <row r="6" spans="1:12">
      <c r="A6" s="4" t="s">
        <v>182</v>
      </c>
      <c r="B6" s="8">
        <v>120000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</row>
    <row r="7" spans="1:12">
      <c r="A7" s="4" t="s">
        <v>184</v>
      </c>
      <c r="B7" s="8">
        <v>180000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</row>
    <row r="8" spans="1:12">
      <c r="A8" s="4" t="s">
        <v>221</v>
      </c>
      <c r="B8" s="8">
        <v>0</v>
      </c>
      <c r="C8" s="8">
        <f>'INGRESOS'!B23</f>
        <v>165110.4</v>
      </c>
      <c r="D8" s="8">
        <f>'INGRESOS'!C23</f>
        <v>69136.9</v>
      </c>
      <c r="E8" s="8">
        <f>'INGRESOS'!D23</f>
        <v>168739.12</v>
      </c>
      <c r="F8" s="8">
        <f>'INGRESOS'!E23</f>
        <v>204222.81</v>
      </c>
      <c r="G8" s="8">
        <f>'INGRESOS'!F23</f>
        <v>273471.63</v>
      </c>
      <c r="H8" s="8">
        <f>'INGRESOS'!G23</f>
        <v>416658.28</v>
      </c>
      <c r="I8" s="8">
        <f>'INGRESOS'!H23</f>
        <v>531508.26</v>
      </c>
      <c r="J8" s="8">
        <f>'INGRESOS'!I23</f>
        <v>562674.88</v>
      </c>
      <c r="K8" s="8">
        <f>'INGRESOS'!J23</f>
        <v>790729.55</v>
      </c>
      <c r="L8" s="8">
        <f>'INGRESOS'!K23</f>
        <v>852043.13</v>
      </c>
    </row>
    <row r="9" spans="1:12">
      <c r="A9" s="4" t="s">
        <v>222</v>
      </c>
      <c r="B9" s="8">
        <v>0</v>
      </c>
      <c r="C9" s="8">
        <f>'INGRESOS'!B25</f>
        <v>198132.48</v>
      </c>
      <c r="D9" s="8">
        <f>'INGRESOS'!C25</f>
        <v>82964.28</v>
      </c>
      <c r="E9" s="8">
        <f>'INGRESOS'!D25</f>
        <v>202486.94</v>
      </c>
      <c r="F9" s="8">
        <f>'INGRESOS'!E25</f>
        <v>245067.37</v>
      </c>
      <c r="G9" s="8">
        <f>'INGRESOS'!F25</f>
        <v>328165.95</v>
      </c>
      <c r="H9" s="8">
        <f>'INGRESOS'!G25</f>
        <v>499989.94</v>
      </c>
      <c r="I9" s="8">
        <f>'INGRESOS'!H25</f>
        <v>637809.92</v>
      </c>
      <c r="J9" s="8">
        <f>'INGRESOS'!I25</f>
        <v>675209.86</v>
      </c>
      <c r="K9" s="8">
        <f>'INGRESOS'!J25</f>
        <v>948875.46</v>
      </c>
      <c r="L9" s="8">
        <f>'INGRESOS'!K25</f>
        <v>1022451.76</v>
      </c>
    </row>
    <row r="10" spans="1:12">
      <c r="A10" s="4" t="s">
        <v>223</v>
      </c>
      <c r="B10" s="8">
        <v>0</v>
      </c>
      <c r="C10" s="8">
        <f>'INGRESOS'!B26</f>
        <v>0.0</v>
      </c>
      <c r="D10" s="8">
        <f>'INGRESOS'!C26</f>
        <v>49533.12</v>
      </c>
      <c r="E10" s="8">
        <f>'INGRESOS'!D26</f>
        <v>20741.07</v>
      </c>
      <c r="F10" s="8">
        <f>'INGRESOS'!E26</f>
        <v>50621.73</v>
      </c>
      <c r="G10" s="8">
        <f>'INGRESOS'!F26</f>
        <v>61266.84</v>
      </c>
      <c r="H10" s="8">
        <f>'INGRESOS'!G26</f>
        <v>82041.49</v>
      </c>
      <c r="I10" s="8">
        <f>'INGRESOS'!H26</f>
        <v>124997.48</v>
      </c>
      <c r="J10" s="8">
        <f>'INGRESOS'!I26</f>
        <v>159452.48</v>
      </c>
      <c r="K10" s="8">
        <f>'INGRESOS'!J26</f>
        <v>168802.47</v>
      </c>
      <c r="L10" s="8">
        <f>'INGRESOS'!K26</f>
        <v>237218.86</v>
      </c>
    </row>
    <row r="11" spans="1:12">
      <c r="A11" s="7" t="s">
        <v>224</v>
      </c>
      <c r="B11" s="7">
        <f>SUM(B6:B10)</f>
        <v>300000.0</v>
      </c>
      <c r="C11" s="7">
        <f>SUM(C6:C10)</f>
        <v>363242.88</v>
      </c>
      <c r="D11" s="7">
        <f>SUM(D6:D10)</f>
        <v>201634.29</v>
      </c>
      <c r="E11" s="7">
        <f>SUM(E6:E10)</f>
        <v>391967.12</v>
      </c>
      <c r="F11" s="7">
        <f>SUM(F6:F10)</f>
        <v>499911.91</v>
      </c>
      <c r="G11" s="7">
        <f>SUM(G6:G10)</f>
        <v>662904.43</v>
      </c>
      <c r="H11" s="7">
        <f>SUM(H6:H10)</f>
        <v>998689.71</v>
      </c>
      <c r="I11" s="7">
        <f>SUM(I6:I10)</f>
        <v>1294315.66</v>
      </c>
      <c r="J11" s="7">
        <f>SUM(J6:J10)</f>
        <v>1397337.23</v>
      </c>
      <c r="K11" s="7">
        <f>SUM(K6:K10)</f>
        <v>1908407.47</v>
      </c>
      <c r="L11" s="7">
        <f>SUM(L6:L10)</f>
        <v>2111713.76</v>
      </c>
    </row>
    <row r="13" spans="1:12">
      <c r="A13" s="2" t="s">
        <v>225</v>
      </c>
    </row>
    <row r="14" spans="1:12">
      <c r="A14" s="4" t="s">
        <v>226</v>
      </c>
      <c r="B14" s="8">
        <v>118000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</row>
    <row r="15" spans="1:12">
      <c r="A15" s="4" t="s">
        <v>227</v>
      </c>
      <c r="B15" s="8">
        <v>132000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</row>
    <row r="16" spans="1:12">
      <c r="A16" s="4" t="s">
        <v>228</v>
      </c>
      <c r="B16" s="8">
        <v>0</v>
      </c>
      <c r="C16" s="8">
        <v>68068.89333333333</v>
      </c>
      <c r="D16" s="8">
        <v>103034.8090666667</v>
      </c>
      <c r="E16" s="8">
        <v>128651.6414293334</v>
      </c>
      <c r="F16" s="8">
        <v>133797.7070865067</v>
      </c>
      <c r="G16" s="8">
        <v>139149.615369967</v>
      </c>
      <c r="H16" s="8">
        <v>168002.3266514323</v>
      </c>
      <c r="I16" s="8">
        <v>174722.4197174896</v>
      </c>
      <c r="J16" s="8">
        <v>208580.6165061892</v>
      </c>
      <c r="K16" s="8">
        <v>216923.8411664368</v>
      </c>
      <c r="L16" s="8">
        <v>225600.7948130943</v>
      </c>
    </row>
    <row r="17" spans="1:12">
      <c r="A17" s="4" t="s">
        <v>229</v>
      </c>
      <c r="B17" s="8">
        <v>0</v>
      </c>
      <c r="C17" s="8">
        <v>28300</v>
      </c>
      <c r="D17" s="8">
        <v>38432</v>
      </c>
      <c r="E17" s="8">
        <v>39969.28</v>
      </c>
      <c r="F17" s="8">
        <v>41568.0512</v>
      </c>
      <c r="G17" s="8">
        <v>43230.77324800001</v>
      </c>
      <c r="H17" s="8">
        <v>44960.00417792</v>
      </c>
      <c r="I17" s="8">
        <v>46758.4043450368</v>
      </c>
      <c r="J17" s="8">
        <v>48628.74051883828</v>
      </c>
      <c r="K17" s="8">
        <v>50573.89013959181</v>
      </c>
      <c r="L17" s="8">
        <v>52596.84574517549</v>
      </c>
    </row>
    <row r="18" spans="1:12">
      <c r="A18" s="4" t="s">
        <v>230</v>
      </c>
      <c r="B18" s="8">
        <v>0</v>
      </c>
      <c r="C18" s="8">
        <v>92845.50999999999</v>
      </c>
      <c r="D18" s="8">
        <v>50812.2824</v>
      </c>
      <c r="E18" s="8">
        <v>99838.97078799999</v>
      </c>
      <c r="F18" s="8">
        <v>127755.64633064</v>
      </c>
      <c r="G18" s="8">
        <v>169834.763188309</v>
      </c>
      <c r="H18" s="8">
        <v>259778.986358282</v>
      </c>
      <c r="I18" s="8">
        <v>336699.7855531907</v>
      </c>
      <c r="J18" s="8">
        <v>363625.9926548954</v>
      </c>
      <c r="K18" s="8">
        <v>499616.3210085665</v>
      </c>
      <c r="L18" s="8">
        <v>552634.1580400917</v>
      </c>
    </row>
    <row r="19" spans="1:12">
      <c r="A19" s="4" t="s">
        <v>210</v>
      </c>
      <c r="B19" s="8">
        <v>0</v>
      </c>
      <c r="C19" s="8">
        <v>64364.74</v>
      </c>
      <c r="D19" s="8">
        <v>66939.3296</v>
      </c>
      <c r="E19" s="8">
        <v>69616.90278400001</v>
      </c>
      <c r="F19" s="8">
        <v>72401.57889536</v>
      </c>
      <c r="G19" s="8">
        <v>96793.08205117442</v>
      </c>
      <c r="H19" s="8">
        <v>100664.8053332214</v>
      </c>
      <c r="I19" s="8">
        <v>104691.3975465503</v>
      </c>
      <c r="J19" s="8">
        <v>108879.0534484122</v>
      </c>
      <c r="K19" s="8">
        <v>113234.2155863487</v>
      </c>
      <c r="L19" s="8">
        <v>117763.5842098027</v>
      </c>
    </row>
    <row r="20" spans="1:12">
      <c r="A20" s="4" t="s">
        <v>209</v>
      </c>
      <c r="B20" s="8">
        <v>0</v>
      </c>
      <c r="C20" s="8">
        <v>56771.27333333333</v>
      </c>
      <c r="D20" s="8">
        <v>52631.00426666667</v>
      </c>
      <c r="E20" s="8">
        <v>60788.54091733335</v>
      </c>
      <c r="F20" s="8">
        <v>91885.26558682667</v>
      </c>
      <c r="G20" s="8">
        <v>99378.17043569573</v>
      </c>
      <c r="H20" s="8">
        <v>111618.7840908078</v>
      </c>
      <c r="I20" s="8">
        <v>122220.0135187971</v>
      </c>
      <c r="J20" s="8">
        <v>151014.6838861419</v>
      </c>
      <c r="K20" s="8">
        <v>169902.0004265954</v>
      </c>
      <c r="L20" s="8">
        <v>178553.3556983481</v>
      </c>
    </row>
    <row r="21" spans="1:12">
      <c r="A21" s="4" t="s">
        <v>231</v>
      </c>
      <c r="B21" s="8">
        <v>0</v>
      </c>
      <c r="C21" s="8">
        <v>0</v>
      </c>
      <c r="D21" s="8">
        <v>2517.262533333339</v>
      </c>
      <c r="E21" s="8">
        <v>0</v>
      </c>
      <c r="F21" s="8">
        <v>0</v>
      </c>
      <c r="G21" s="8">
        <v>0</v>
      </c>
      <c r="H21" s="8">
        <v>19803.85119436852</v>
      </c>
      <c r="I21" s="8">
        <v>95778.20485359119</v>
      </c>
      <c r="J21" s="8">
        <v>153259.9268934246</v>
      </c>
      <c r="K21" s="8">
        <v>151650.5727957825</v>
      </c>
      <c r="L21" s="8">
        <v>268179.1846686014</v>
      </c>
    </row>
    <row r="22" spans="1:12">
      <c r="A22" s="4" t="s">
        <v>232</v>
      </c>
      <c r="B22" s="8">
        <v>0</v>
      </c>
      <c r="C22" s="8">
        <v>32400</v>
      </c>
      <c r="D22" s="8">
        <v>32400</v>
      </c>
      <c r="E22" s="8">
        <v>32400</v>
      </c>
      <c r="F22" s="8">
        <v>28968.51181256968</v>
      </c>
      <c r="G22" s="8">
        <v>24919.35575140189</v>
      </c>
      <c r="H22" s="8">
        <v>20141.35159922391</v>
      </c>
      <c r="I22" s="8">
        <v>14503.30669965389</v>
      </c>
      <c r="J22" s="8">
        <v>7850.41371816127</v>
      </c>
      <c r="K22" s="8">
        <v>0</v>
      </c>
      <c r="L22" s="8">
        <v>0</v>
      </c>
    </row>
    <row r="23" spans="1:12">
      <c r="A23" s="4" t="s">
        <v>149</v>
      </c>
      <c r="B23" s="8">
        <v>0</v>
      </c>
      <c r="C23" s="8">
        <v>0</v>
      </c>
      <c r="D23" s="8">
        <v>0</v>
      </c>
      <c r="E23" s="8">
        <v>19063.82326350179</v>
      </c>
      <c r="F23" s="8">
        <v>22495.31145093212</v>
      </c>
      <c r="G23" s="8">
        <v>26544.4675120999</v>
      </c>
      <c r="H23" s="8">
        <v>31322.47166427788</v>
      </c>
      <c r="I23" s="8">
        <v>36960.5165638479</v>
      </c>
      <c r="J23" s="8">
        <v>43613.40954534039</v>
      </c>
      <c r="K23" s="8">
        <v>0</v>
      </c>
      <c r="L23" s="8">
        <v>0</v>
      </c>
    </row>
    <row r="24" spans="1:12">
      <c r="A24" s="7" t="s">
        <v>233</v>
      </c>
      <c r="B24" s="7">
        <f>SUM(B14:B23)</f>
        <v>250000.0</v>
      </c>
      <c r="C24" s="7">
        <f>SUM(C14:C23)</f>
        <v>342750.42</v>
      </c>
      <c r="D24" s="7">
        <f>SUM(D14:D23)</f>
        <v>346766.69</v>
      </c>
      <c r="E24" s="7">
        <f>SUM(E14:E23)</f>
        <v>450329.16</v>
      </c>
      <c r="F24" s="7">
        <f>SUM(F14:F23)</f>
        <v>518872.07</v>
      </c>
      <c r="G24" s="7">
        <f>SUM(G14:G23)</f>
        <v>599850.23</v>
      </c>
      <c r="H24" s="7">
        <f>SUM(H14:H23)</f>
        <v>756292.58</v>
      </c>
      <c r="I24" s="7">
        <f>SUM(I14:I23)</f>
        <v>932334.05</v>
      </c>
      <c r="J24" s="7">
        <f>SUM(J14:J23)</f>
        <v>1085452.84</v>
      </c>
      <c r="K24" s="7">
        <f>SUM(K14:K23)</f>
        <v>1201900.84</v>
      </c>
      <c r="L24" s="7">
        <f>SUM(L14:L23)</f>
        <v>1395327.92</v>
      </c>
    </row>
    <row r="26" spans="1:12">
      <c r="A26" s="4" t="s">
        <v>234</v>
      </c>
      <c r="B26" s="8">
        <f>B11-B24</f>
        <v>50000.0</v>
      </c>
      <c r="C26" s="8">
        <f>C11-C24</f>
        <v>20492.46</v>
      </c>
      <c r="D26" s="8">
        <f>D11-D24</f>
        <v>-145132.4</v>
      </c>
      <c r="E26" s="8">
        <f>E11-E24</f>
        <v>-58362.04</v>
      </c>
      <c r="F26" s="8">
        <f>F11-F24</f>
        <v>-18960.16</v>
      </c>
      <c r="G26" s="8">
        <f>G11-G24</f>
        <v>63054.2</v>
      </c>
      <c r="H26" s="8">
        <f>H11-H24</f>
        <v>242397.13</v>
      </c>
      <c r="I26" s="8">
        <f>I11-I24</f>
        <v>361981.62</v>
      </c>
      <c r="J26" s="8">
        <f>J11-J24</f>
        <v>311884.39</v>
      </c>
      <c r="K26" s="8">
        <f>K11-K24</f>
        <v>706506.63</v>
      </c>
      <c r="L26" s="8">
        <f>L11-L24</f>
        <v>716385.83</v>
      </c>
    </row>
    <row r="27" spans="1:12">
      <c r="A27" s="4" t="s">
        <v>235</v>
      </c>
      <c r="B27" s="8">
        <f>0</f>
        <v>0.0</v>
      </c>
      <c r="C27" s="8">
        <f>B28</f>
        <v>50000.0</v>
      </c>
      <c r="D27" s="8">
        <f>C28</f>
        <v>70492.46</v>
      </c>
      <c r="E27" s="8">
        <f>D28</f>
        <v>-74639.93</v>
      </c>
      <c r="F27" s="8">
        <f>E28</f>
        <v>-133001.97</v>
      </c>
      <c r="G27" s="8">
        <f>F28</f>
        <v>-151962.13</v>
      </c>
      <c r="H27" s="8">
        <f>G28</f>
        <v>-88907.93</v>
      </c>
      <c r="I27" s="8">
        <f>H28</f>
        <v>153489.2</v>
      </c>
      <c r="J27" s="8">
        <f>I28</f>
        <v>515470.82</v>
      </c>
      <c r="K27" s="8">
        <f>J28</f>
        <v>827355.2</v>
      </c>
      <c r="L27" s="8">
        <f>K28</f>
        <v>1533861.83</v>
      </c>
    </row>
    <row r="28" spans="1:12">
      <c r="A28" s="7" t="s">
        <v>236</v>
      </c>
      <c r="B28" s="7">
        <f>B27+B26</f>
        <v>50000.0</v>
      </c>
      <c r="C28" s="7">
        <f>C27+C26</f>
        <v>70492.46</v>
      </c>
      <c r="D28" s="7">
        <f>D27+D26</f>
        <v>-74639.93</v>
      </c>
      <c r="E28" s="7">
        <f>E27+E26</f>
        <v>-133001.97</v>
      </c>
      <c r="F28" s="7">
        <f>F27+F26</f>
        <v>-151962.13</v>
      </c>
      <c r="G28" s="7">
        <f>G27+G26</f>
        <v>-88907.93</v>
      </c>
      <c r="H28" s="7">
        <f>H27+H26</f>
        <v>153489.2</v>
      </c>
      <c r="I28" s="7">
        <f>I27+I26</f>
        <v>515470.82</v>
      </c>
      <c r="J28" s="7">
        <f>J27+J26</f>
        <v>827355.2</v>
      </c>
      <c r="K28" s="7">
        <f>K27+K26</f>
        <v>1533861.83</v>
      </c>
      <c r="L28" s="7">
        <f>L27+L26</f>
        <v>2250247.67</v>
      </c>
    </row>
    <row r="30" spans="1:12">
      <c r="A30" s="12" t="s">
        <v>237</v>
      </c>
    </row>
  </sheetData>
  <mergeCells count="1">
    <mergeCell ref="A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6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3" width="13.7109375" customWidth="1"/>
  </cols>
  <sheetData>
    <row r="1" spans="1:13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spans="1:1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3">
      <c r="A5" s="2" t="s">
        <v>239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3">
      <c r="A6" s="4" t="s">
        <v>188</v>
      </c>
      <c r="B6" s="8">
        <f>'PRESUPUESTO CAJA'!C28</f>
        <v>70492.46</v>
      </c>
      <c r="C6" s="8">
        <f>'PRESUPUESTO CAJA'!D28</f>
        <v>-74639.93</v>
      </c>
      <c r="D6" s="8">
        <f>'PRESUPUESTO CAJA'!E28</f>
        <v>-133001.97</v>
      </c>
      <c r="E6" s="8">
        <f>'PRESUPUESTO CAJA'!F28</f>
        <v>-151962.13</v>
      </c>
      <c r="F6" s="8">
        <f>'PRESUPUESTO CAJA'!G28</f>
        <v>-88907.93</v>
      </c>
      <c r="G6" s="8">
        <f>'PRESUPUESTO CAJA'!H28</f>
        <v>153489.2</v>
      </c>
      <c r="H6" s="8">
        <f>'PRESUPUESTO CAJA'!I28</f>
        <v>515470.82</v>
      </c>
      <c r="I6" s="8">
        <f>'PRESUPUESTO CAJA'!J28</f>
        <v>827355.2</v>
      </c>
      <c r="J6" s="8">
        <f>'PRESUPUESTO CAJA'!K28</f>
        <v>1533861.83</v>
      </c>
      <c r="K6" s="8">
        <f>'PRESUPUESTO CAJA'!L28</f>
        <v>2250247.67</v>
      </c>
    </row>
    <row r="7" spans="1:13">
      <c r="A7" s="4" t="s">
        <v>240</v>
      </c>
      <c r="B7" s="8">
        <f>'INGRESOS'!B28</f>
        <v>49533.12</v>
      </c>
      <c r="C7" s="8">
        <f>'INGRESOS'!C28</f>
        <v>20741.07</v>
      </c>
      <c r="D7" s="8">
        <f>'INGRESOS'!D28</f>
        <v>50621.73</v>
      </c>
      <c r="E7" s="8">
        <f>'INGRESOS'!E28</f>
        <v>61266.84</v>
      </c>
      <c r="F7" s="8">
        <f>'INGRESOS'!F28</f>
        <v>82041.49</v>
      </c>
      <c r="G7" s="8">
        <f>'INGRESOS'!G28</f>
        <v>124997.48</v>
      </c>
      <c r="H7" s="8">
        <f>'INGRESOS'!H28</f>
        <v>159452.48</v>
      </c>
      <c r="I7" s="8">
        <f>'INGRESOS'!I28</f>
        <v>168802.47</v>
      </c>
      <c r="J7" s="8">
        <f>'INGRESOS'!J28</f>
        <v>237218.86</v>
      </c>
      <c r="K7" s="8">
        <f>'INGRESOS'!K28</f>
        <v>255612.94</v>
      </c>
    </row>
    <row r="8" spans="1:13">
      <c r="A8" s="7" t="s">
        <v>241</v>
      </c>
      <c r="B8" s="7">
        <f>SUM(B6,B7)</f>
        <v>120025.58</v>
      </c>
      <c r="C8" s="7">
        <f>SUM(C6,C7)</f>
        <v>-53898.86</v>
      </c>
      <c r="D8" s="7">
        <f>SUM(D6,D7)</f>
        <v>-82380.23</v>
      </c>
      <c r="E8" s="7">
        <f>SUM(E6,E7)</f>
        <v>-90695.29</v>
      </c>
      <c r="F8" s="7">
        <f>SUM(F6,F7)</f>
        <v>-6866.44</v>
      </c>
      <c r="G8" s="7">
        <f>SUM(G6,G7)</f>
        <v>278486.69</v>
      </c>
      <c r="H8" s="7">
        <f>SUM(H6,H7)</f>
        <v>674923.3</v>
      </c>
      <c r="I8" s="7">
        <f>SUM(I6,I7)</f>
        <v>996157.67</v>
      </c>
      <c r="J8" s="7">
        <f>SUM(J6,J7)</f>
        <v>1771080.7</v>
      </c>
      <c r="K8" s="7">
        <f>SUM(K6,K7)</f>
        <v>2505860.61</v>
      </c>
    </row>
    <row r="9" spans="1:13">
      <c r="A9" s="4" t="s">
        <v>163</v>
      </c>
      <c r="B9" s="8">
        <f>'DEPRECIACIONES AMORTIZACION'!B12</f>
        <v>93800.0</v>
      </c>
      <c r="C9" s="8">
        <f>'DEPRECIACIONES AMORTIZACION'!C12</f>
        <v>69600.0</v>
      </c>
      <c r="D9" s="8">
        <f>'DEPRECIACIONES AMORTIZACION'!D12</f>
        <v>45400.0</v>
      </c>
      <c r="E9" s="8">
        <f>'DEPRECIACIONES AMORTIZACION'!E12</f>
        <v>21200.0</v>
      </c>
      <c r="F9" s="8">
        <f>'DEPRECIACIONES AMORTIZACION'!F12</f>
        <v>9000.0</v>
      </c>
      <c r="G9" s="8">
        <f>'DEPRECIACIONES AMORTIZACION'!G12</f>
        <v>7200.0</v>
      </c>
      <c r="H9" s="8">
        <f>'DEPRECIACIONES AMORTIZACION'!H12</f>
        <v>5400.0</v>
      </c>
      <c r="I9" s="8">
        <f>'DEPRECIACIONES AMORTIZACION'!I12</f>
        <v>3600.0</v>
      </c>
      <c r="J9" s="8">
        <f>'DEPRECIACIONES AMORTIZACION'!J12</f>
        <v>1800.0</v>
      </c>
      <c r="K9" s="8">
        <f>'DEPRECIACIONES AMORTIZACION'!K12</f>
        <v>0.0</v>
      </c>
    </row>
    <row r="10" spans="1:13">
      <c r="A10" s="4" t="s">
        <v>170</v>
      </c>
      <c r="B10" s="8">
        <f>'DEPRECIACIONES AMORTIZACION'!B24</f>
        <v>105600.0</v>
      </c>
      <c r="C10" s="8">
        <f>'DEPRECIACIONES AMORTIZACION'!C24</f>
        <v>79200.0</v>
      </c>
      <c r="D10" s="8">
        <f>'DEPRECIACIONES AMORTIZACION'!D24</f>
        <v>52800.0</v>
      </c>
      <c r="E10" s="8">
        <f>'DEPRECIACIONES AMORTIZACION'!E24</f>
        <v>26400.0</v>
      </c>
      <c r="F10" s="8">
        <f>'DEPRECIACIONES AMORTIZACION'!F24</f>
        <v>0.0</v>
      </c>
      <c r="G10" s="8">
        <f>'DEPRECIACIONES AMORTIZACION'!G24</f>
        <v>0.0</v>
      </c>
      <c r="H10" s="8">
        <f>'DEPRECIACIONES AMORTIZACION'!H24</f>
        <v>0.0</v>
      </c>
      <c r="I10" s="8">
        <f>'DEPRECIACIONES AMORTIZACION'!I24</f>
        <v>0.0</v>
      </c>
      <c r="J10" s="8">
        <f>'DEPRECIACIONES AMORTIZACION'!J24</f>
        <v>0.0</v>
      </c>
      <c r="K10" s="8">
        <f>'DEPRECIACIONES AMORTIZACION'!K24</f>
        <v>0.0</v>
      </c>
    </row>
    <row r="11" spans="1:13">
      <c r="A11" s="7" t="s">
        <v>193</v>
      </c>
      <c r="B11" s="7">
        <f>SUM(B8,B9,B10)</f>
        <v>319425.58</v>
      </c>
      <c r="C11" s="7">
        <f>SUM(C8,C9,C10)</f>
        <v>94901.14</v>
      </c>
      <c r="D11" s="7">
        <f>SUM(D8,D9,D10)</f>
        <v>15819.77</v>
      </c>
      <c r="E11" s="7">
        <f>SUM(E8,E9,E10)</f>
        <v>-43095.29</v>
      </c>
      <c r="F11" s="7">
        <f>SUM(F8,F9,F10)</f>
        <v>2133.56</v>
      </c>
      <c r="G11" s="7">
        <f>SUM(G8,G9,G10)</f>
        <v>285686.69</v>
      </c>
      <c r="H11" s="7">
        <f>SUM(H8,H9,H10)</f>
        <v>680323.3</v>
      </c>
      <c r="I11" s="7">
        <f>SUM(I8,I9,I10)</f>
        <v>999757.67</v>
      </c>
      <c r="J11" s="7">
        <f>SUM(J8,J9,J10)</f>
        <v>1772880.7</v>
      </c>
      <c r="K11" s="7">
        <f>SUM(K8,K9,K10)</f>
        <v>2505860.61</v>
      </c>
    </row>
    <row r="13" spans="1:13">
      <c r="A13" s="2" t="s">
        <v>242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3">
      <c r="A14" s="4" t="s">
        <v>243</v>
      </c>
      <c r="B14" s="8">
        <f>'COSTOS'!B23</f>
        <v>10892.49</v>
      </c>
      <c r="C14" s="8">
        <f>'COSTOS'!C23</f>
        <v>4683.33</v>
      </c>
      <c r="D14" s="8">
        <f>'COSTOS'!D23</f>
        <v>11163.51</v>
      </c>
      <c r="E14" s="8">
        <f>'COSTOS'!E23</f>
        <v>13678.41</v>
      </c>
      <c r="F14" s="8">
        <f>'COSTOS'!F23</f>
        <v>18320.02</v>
      </c>
      <c r="G14" s="8">
        <f>'COSTOS'!G23</f>
        <v>28327.59</v>
      </c>
      <c r="H14" s="8">
        <f>'COSTOS'!H23</f>
        <v>36177.74</v>
      </c>
      <c r="I14" s="8">
        <f>'COSTOS'!I23</f>
        <v>38415.72</v>
      </c>
      <c r="J14" s="8">
        <f>'COSTOS'!J23</f>
        <v>54107.33</v>
      </c>
      <c r="K14" s="8">
        <f>'COSTOS'!K23</f>
        <v>58486.39</v>
      </c>
    </row>
    <row r="15" spans="1:13">
      <c r="A15" s="4" t="s">
        <v>244</v>
      </c>
      <c r="B15" s="8">
        <f>'GASTOS_ADM_VTAS_FINANZAS'!B21</f>
        <v>0.0</v>
      </c>
      <c r="C15" s="8">
        <f>'GASTOS_ADM_VTAS_FINANZAS'!C21</f>
        <v>0.0</v>
      </c>
      <c r="D15" s="8">
        <f>'GASTOS_ADM_VTAS_FINANZAS'!D21</f>
        <v>19063.82</v>
      </c>
      <c r="E15" s="8">
        <f>'GASTOS_ADM_VTAS_FINANZAS'!E21</f>
        <v>22495.31</v>
      </c>
      <c r="F15" s="8">
        <f>'GASTOS_ADM_VTAS_FINANZAS'!F21</f>
        <v>26544.47</v>
      </c>
      <c r="G15" s="8">
        <f>'GASTOS_ADM_VTAS_FINANZAS'!G21</f>
        <v>31322.47</v>
      </c>
      <c r="H15" s="8">
        <f>'GASTOS_ADM_VTAS_FINANZAS'!H21</f>
        <v>36960.52</v>
      </c>
      <c r="I15" s="8">
        <f>'GASTOS_ADM_VTAS_FINANZAS'!I21</f>
        <v>43613.41</v>
      </c>
      <c r="J15" s="8">
        <f>'GASTOS_ADM_VTAS_FINANZAS'!J21</f>
        <v>0.0</v>
      </c>
      <c r="K15" s="8">
        <f>'GASTOS_ADM_VTAS_FINANZAS'!K21</f>
        <v>0.0</v>
      </c>
    </row>
    <row r="16" spans="1:13">
      <c r="A16" s="4" t="s">
        <v>245</v>
      </c>
      <c r="B16" s="8">
        <f>'ESTADO DE RESULTADOS'!B14</f>
        <v>2517.26</v>
      </c>
      <c r="C16" s="8">
        <f>'ESTADO DE RESULTADOS'!C14</f>
        <v>0.0</v>
      </c>
      <c r="D16" s="8">
        <f>'ESTADO DE RESULTADOS'!D14</f>
        <v>0.0</v>
      </c>
      <c r="E16" s="8">
        <f>'ESTADO DE RESULTADOS'!E14</f>
        <v>0.0</v>
      </c>
      <c r="F16" s="8">
        <f>'ESTADO DE RESULTADOS'!F14</f>
        <v>19803.85</v>
      </c>
      <c r="G16" s="8">
        <f>'ESTADO DE RESULTADOS'!G14</f>
        <v>95778.2</v>
      </c>
      <c r="H16" s="8">
        <f>'ESTADO DE RESULTADOS'!H14</f>
        <v>153259.93</v>
      </c>
      <c r="I16" s="8">
        <f>'ESTADO DE RESULTADOS'!I14</f>
        <v>151650.57</v>
      </c>
      <c r="J16" s="8">
        <f>'ESTADO DE RESULTADOS'!J14</f>
        <v>268179.18</v>
      </c>
      <c r="K16" s="8">
        <f>'ESTADO DE RESULTADOS'!K14</f>
        <v>294050.11</v>
      </c>
    </row>
    <row r="17" spans="1:11">
      <c r="A17" s="7" t="s">
        <v>246</v>
      </c>
      <c r="B17" s="7">
        <f>SUM(B14,B15,B16)</f>
        <v>13409.75</v>
      </c>
      <c r="C17" s="7">
        <f>SUM(C14,C15,C16)</f>
        <v>4683.33</v>
      </c>
      <c r="D17" s="7">
        <f>SUM(D14,D15,D16)</f>
        <v>30227.33</v>
      </c>
      <c r="E17" s="7">
        <f>SUM(E14,E15,E16)</f>
        <v>36173.72</v>
      </c>
      <c r="F17" s="7">
        <f>SUM(F14,F15,F16)</f>
        <v>64668.34</v>
      </c>
      <c r="G17" s="7">
        <f>SUM(G14,G15,G16)</f>
        <v>155428.26</v>
      </c>
      <c r="H17" s="7">
        <f>SUM(H14,H15,H16)</f>
        <v>226398.19</v>
      </c>
      <c r="I17" s="7">
        <f>SUM(I14,I15,I16)</f>
        <v>233679.7</v>
      </c>
      <c r="J17" s="7">
        <f>SUM(J14,J15,J16)</f>
        <v>322286.52</v>
      </c>
      <c r="K17" s="7">
        <f>SUM(K14,K15,K16)</f>
        <v>352536.5</v>
      </c>
    </row>
    <row r="18" spans="1:11">
      <c r="A18" s="4" t="s">
        <v>247</v>
      </c>
      <c r="B18" s="8">
        <f>MAX(0,'GASTOS_ADM_VTAS_FINANZAS'!B23-'GASTOS_ADM_VTAS_FINANZAS'!C21)</f>
        <v>180000.0</v>
      </c>
      <c r="C18" s="8">
        <f>MAX(0,'GASTOS_ADM_VTAS_FINANZAS'!C23-'GASTOS_ADM_VTAS_FINANZAS'!D21)</f>
        <v>160936.18</v>
      </c>
      <c r="D18" s="8">
        <f>MAX(0,'GASTOS_ADM_VTAS_FINANZAS'!D23-'GASTOS_ADM_VTAS_FINANZAS'!E21)</f>
        <v>138440.87</v>
      </c>
      <c r="E18" s="8">
        <f>MAX(0,'GASTOS_ADM_VTAS_FINANZAS'!E23-'GASTOS_ADM_VTAS_FINANZAS'!F21)</f>
        <v>111896.4</v>
      </c>
      <c r="F18" s="8">
        <f>MAX(0,'GASTOS_ADM_VTAS_FINANZAS'!F23-'GASTOS_ADM_VTAS_FINANZAS'!G21)</f>
        <v>80573.93</v>
      </c>
      <c r="G18" s="8">
        <f>MAX(0,'GASTOS_ADM_VTAS_FINANZAS'!G23-'GASTOS_ADM_VTAS_FINANZAS'!H21)</f>
        <v>43613.41</v>
      </c>
      <c r="H18" s="8">
        <f>MAX(0,'GASTOS_ADM_VTAS_FINANZAS'!H23-'GASTOS_ADM_VTAS_FINANZAS'!I21)</f>
        <v>0.0</v>
      </c>
      <c r="I18" s="8">
        <f>MAX(0,'GASTOS_ADM_VTAS_FINANZAS'!I23-'GASTOS_ADM_VTAS_FINANZAS'!J21)</f>
        <v>0.0</v>
      </c>
      <c r="J18" s="8">
        <f>MAX(0,'GASTOS_ADM_VTAS_FINANZAS'!J23-'GASTOS_ADM_VTAS_FINANZAS'!K21)</f>
        <v>0.0</v>
      </c>
      <c r="K18" s="8">
        <f>MAX(0,'GASTOS_ADM_VTAS_FINANZAS'!K23-0)</f>
        <v>0.0</v>
      </c>
    </row>
    <row r="19" spans="1:11">
      <c r="A19" s="7" t="s">
        <v>248</v>
      </c>
      <c r="B19" s="7">
        <f>SUM(B17,B18)</f>
        <v>193409.75</v>
      </c>
      <c r="C19" s="7">
        <f>SUM(C17,C18)</f>
        <v>165619.5</v>
      </c>
      <c r="D19" s="7">
        <f>SUM(D17,D18)</f>
        <v>168668.2</v>
      </c>
      <c r="E19" s="7">
        <f>SUM(E17,E18)</f>
        <v>148070.12</v>
      </c>
      <c r="F19" s="7">
        <f>SUM(F17,F18)</f>
        <v>145242.26</v>
      </c>
      <c r="G19" s="7">
        <f>SUM(G17,G18)</f>
        <v>199041.67</v>
      </c>
      <c r="H19" s="7">
        <f>SUM(H17,H18)</f>
        <v>226398.19</v>
      </c>
      <c r="I19" s="7">
        <f>SUM(I17,I18)</f>
        <v>233679.7</v>
      </c>
      <c r="J19" s="7">
        <f>SUM(J17,J18)</f>
        <v>322286.52</v>
      </c>
      <c r="K19" s="7">
        <f>SUM(K17,K18)</f>
        <v>352536.5</v>
      </c>
    </row>
    <row r="21" spans="1:11">
      <c r="A21" s="2" t="s">
        <v>249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4" t="s">
        <v>198</v>
      </c>
      <c r="B22" s="8">
        <f>'PLAN DE INVERSION'!B9</f>
        <v>120000.0</v>
      </c>
      <c r="C22" s="8">
        <f>'PLAN DE INVERSION'!B9</f>
        <v>120000.0</v>
      </c>
      <c r="D22" s="8">
        <f>'PLAN DE INVERSION'!B9</f>
        <v>120000.0</v>
      </c>
      <c r="E22" s="8">
        <f>'PLAN DE INVERSION'!B9</f>
        <v>120000.0</v>
      </c>
      <c r="F22" s="8">
        <f>'PLAN DE INVERSION'!B9</f>
        <v>120000.0</v>
      </c>
      <c r="G22" s="8">
        <f>'PLAN DE INVERSION'!B9</f>
        <v>120000.0</v>
      </c>
      <c r="H22" s="8">
        <f>'PLAN DE INVERSION'!B9</f>
        <v>120000.0</v>
      </c>
      <c r="I22" s="8">
        <f>'PLAN DE INVERSION'!B9</f>
        <v>120000.0</v>
      </c>
      <c r="J22" s="8">
        <f>'PLAN DE INVERSION'!B9</f>
        <v>120000.0</v>
      </c>
      <c r="K22" s="8">
        <f>'PLAN DE INVERSION'!B9</f>
        <v>120000.0</v>
      </c>
    </row>
    <row r="23" spans="1:11">
      <c r="A23" s="4" t="s">
        <v>250</v>
      </c>
      <c r="B23" s="8">
        <f>SUM('ESTADO DE RESULTADOS'!$B$16:B16)</f>
        <v>601.58</v>
      </c>
      <c r="C23" s="8">
        <f>SUM('ESTADO DE RESULTADOS'!$B$16:C16)</f>
        <v>601.58</v>
      </c>
      <c r="D23" s="8">
        <f>SUM('ESTADO DE RESULTADOS'!$B$16:D16)</f>
        <v>601.58</v>
      </c>
      <c r="E23" s="8">
        <f>SUM('ESTADO DE RESULTADOS'!$B$16:E16)</f>
        <v>601.58</v>
      </c>
      <c r="F23" s="8">
        <f>SUM('ESTADO DE RESULTADOS'!$B$16:F16)</f>
        <v>5334.37</v>
      </c>
      <c r="G23" s="8">
        <f>SUM('ESTADO DE RESULTADOS'!$B$16:G16)</f>
        <v>24000.0</v>
      </c>
      <c r="H23" s="8">
        <f>SUM('ESTADO DE RESULTADOS'!$B$16:H16)</f>
        <v>24000.0</v>
      </c>
      <c r="I23" s="8">
        <f>SUM('ESTADO DE RESULTADOS'!$B$16:I16)</f>
        <v>24000.0</v>
      </c>
      <c r="J23" s="8">
        <f>SUM('ESTADO DE RESULTADOS'!$B$16:J16)</f>
        <v>24000.0</v>
      </c>
      <c r="K23" s="8">
        <f>SUM('ESTADO DE RESULTADOS'!$B$16:K16)</f>
        <v>24000.0</v>
      </c>
    </row>
    <row r="24" spans="1:11">
      <c r="A24" s="4" t="s">
        <v>251</v>
      </c>
      <c r="B24" s="8">
        <f>SUM('ESTADO DE RESULTADOS'!$B$17:B17)</f>
        <v>5414.25</v>
      </c>
      <c r="C24" s="8">
        <f>SUM('ESTADO DE RESULTADOS'!$B$17:C17)</f>
        <v>-210383.78</v>
      </c>
      <c r="D24" s="8">
        <f>SUM('ESTADO DE RESULTADOS'!$B$17:D17)</f>
        <v>-276881.51</v>
      </c>
      <c r="E24" s="8">
        <f>SUM('ESTADO DE RESULTADOS'!$B$17:E17)</f>
        <v>-315816.14</v>
      </c>
      <c r="F24" s="8">
        <f>SUM('ESTADO DE RESULTADOS'!$B$17:F17)</f>
        <v>-273221.08</v>
      </c>
      <c r="G24" s="8">
        <f>SUM('ESTADO DE RESULTADOS'!$B$17:G17)</f>
        <v>-62993.03</v>
      </c>
      <c r="H24" s="8">
        <f>SUM('ESTADO DE RESULTADOS'!$B$17:H17)</f>
        <v>303272.21</v>
      </c>
      <c r="I24" s="8">
        <f>SUM('ESTADO DE RESULTADOS'!$B$17:I17)</f>
        <v>665691.38</v>
      </c>
      <c r="J24" s="8">
        <f>SUM('ESTADO DE RESULTADOS'!$B$17:J17)</f>
        <v>1306594.18</v>
      </c>
      <c r="K24" s="8">
        <f>SUM('ESTADO DE RESULTADOS'!$B$17:K17)</f>
        <v>2009324.11</v>
      </c>
    </row>
    <row r="25" spans="1:11">
      <c r="A25" s="7" t="s">
        <v>252</v>
      </c>
      <c r="B25" s="7">
        <f>SUM(B22,B23,B24)</f>
        <v>126015.83</v>
      </c>
      <c r="C25" s="7">
        <f>SUM(C22,C23,C24)</f>
        <v>-89782.19</v>
      </c>
      <c r="D25" s="7">
        <f>SUM(D22,D23,D24)</f>
        <v>-156279.92</v>
      </c>
      <c r="E25" s="7">
        <f>SUM(E22,E23,E24)</f>
        <v>-195214.56</v>
      </c>
      <c r="F25" s="7">
        <f>SUM(F22,F23,F24)</f>
        <v>-147886.71</v>
      </c>
      <c r="G25" s="7">
        <f>SUM(G22,G23,G24)</f>
        <v>81006.97</v>
      </c>
      <c r="H25" s="7">
        <f>SUM(H22,H23,H24)</f>
        <v>447272.21</v>
      </c>
      <c r="I25" s="7">
        <f>SUM(I22,I23,I24)</f>
        <v>809691.38</v>
      </c>
      <c r="J25" s="7">
        <f>SUM(J22,J23,J24)</f>
        <v>1450594.18</v>
      </c>
      <c r="K25" s="7">
        <f>SUM(K22,K23,K24)</f>
        <v>2153324.11</v>
      </c>
    </row>
    <row r="26" spans="1:11">
      <c r="A26" s="4" t="s">
        <v>253</v>
      </c>
      <c r="B26" s="8">
        <f>B11-B19-B25</f>
        <v>-0.0</v>
      </c>
      <c r="C26" s="8">
        <f>C11-C19-C25</f>
        <v>19063.82</v>
      </c>
      <c r="D26" s="8">
        <f>D11-D19-D25</f>
        <v>3431.49</v>
      </c>
      <c r="E26" s="8">
        <f>E11-E19-E25</f>
        <v>4049.16</v>
      </c>
      <c r="F26" s="8">
        <f>F11-F19-F25</f>
        <v>4778.0</v>
      </c>
      <c r="G26" s="8">
        <f>G11-G19-G25</f>
        <v>5638.04</v>
      </c>
      <c r="H26" s="8">
        <f>H11-H19-H25</f>
        <v>6652.89</v>
      </c>
      <c r="I26" s="8">
        <f>I11-I19-I25</f>
        <v>-43613.41</v>
      </c>
      <c r="J26" s="8">
        <f>J11-J19-J25</f>
        <v>0.0</v>
      </c>
      <c r="K26" s="8">
        <f>K11-K19-K25</f>
        <v>0.0</v>
      </c>
    </row>
  </sheetData>
  <mergeCells count="4">
    <mergeCell ref="A1:M1"/>
    <mergeCell ref="A5:K5"/>
    <mergeCell ref="A13:K13"/>
    <mergeCell ref="A21:K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9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2">
      <c r="A5" s="4" t="s">
        <v>255</v>
      </c>
      <c r="B5" s="9">
        <f>IFERROR('BALANCE GENERAL PROYECTADO'!B8/'BALANCE GENERAL PROYECTADO'!B17,0)</f>
        <v>8.950618815297245</v>
      </c>
      <c r="C5" s="9">
        <f>IFERROR('BALANCE GENERAL PROYECTADO'!C8/'BALANCE GENERAL PROYECTADO'!C17,0)</f>
        <v>-11.508668437658162</v>
      </c>
      <c r="D5" s="9">
        <f>IFERROR('BALANCE GENERAL PROYECTADO'!D8/'BALANCE GENERAL PROYECTADO'!D17,0)</f>
        <v>-2.725355587746847</v>
      </c>
      <c r="E5" s="9">
        <f>IFERROR('BALANCE GENERAL PROYECTADO'!E8/'BALANCE GENERAL PROYECTADO'!E17,0)</f>
        <v>-2.507214898423719</v>
      </c>
      <c r="F5" s="9">
        <f>IFERROR('BALANCE GENERAL PROYECTADO'!F8/'BALANCE GENERAL PROYECTADO'!F17,0)</f>
        <v>-0.10617934247572668</v>
      </c>
      <c r="G5" s="9">
        <f>IFERROR('BALANCE GENERAL PROYECTADO'!G8/'BALANCE GENERAL PROYECTADO'!G17,0)</f>
        <v>1.7917377225716684</v>
      </c>
      <c r="H5" s="9">
        <f>IFERROR('BALANCE GENERAL PROYECTADO'!H8/'BALANCE GENERAL PROYECTADO'!H17,0)</f>
        <v>2.981133830485945</v>
      </c>
      <c r="I5" s="9">
        <f>IFERROR('BALANCE GENERAL PROYECTADO'!I8/'BALANCE GENERAL PROYECTADO'!I17,0)</f>
        <v>4.262919180470897</v>
      </c>
      <c r="J5" s="9">
        <f>IFERROR('BALANCE GENERAL PROYECTADO'!J8/'BALANCE GENERAL PROYECTADO'!J17,0)</f>
        <v>5.495360792407058</v>
      </c>
      <c r="K5" s="9">
        <f>IFERROR('BALANCE GENERAL PROYECTADO'!K8/'BALANCE GENERAL PROYECTADO'!K17,0)</f>
        <v>7.10808841566218</v>
      </c>
    </row>
    <row r="6" spans="1:12">
      <c r="A6" s="4" t="s">
        <v>256</v>
      </c>
      <c r="B6" s="8">
        <f>'BALANCE GENERAL PROYECTADO'!B8-'BALANCE GENERAL PROYECTADO'!B17</f>
        <v>106615.83</v>
      </c>
      <c r="C6" s="8">
        <f>'BALANCE GENERAL PROYECTADO'!C8-'BALANCE GENERAL PROYECTADO'!C17</f>
        <v>-58582.19</v>
      </c>
      <c r="D6" s="8">
        <f>'BALANCE GENERAL PROYECTADO'!D8-'BALANCE GENERAL PROYECTADO'!D17</f>
        <v>-112607.57</v>
      </c>
      <c r="E6" s="8">
        <f>'BALANCE GENERAL PROYECTADO'!E8-'BALANCE GENERAL PROYECTADO'!E17</f>
        <v>-126869.0</v>
      </c>
      <c r="F6" s="8">
        <f>'BALANCE GENERAL PROYECTADO'!F8-'BALANCE GENERAL PROYECTADO'!F17</f>
        <v>-71534.78</v>
      </c>
      <c r="G6" s="8">
        <f>'BALANCE GENERAL PROYECTADO'!G8-'BALANCE GENERAL PROYECTADO'!G17</f>
        <v>123058.42</v>
      </c>
      <c r="H6" s="8">
        <f>'BALANCE GENERAL PROYECTADO'!H8-'BALANCE GENERAL PROYECTADO'!H17</f>
        <v>448525.11</v>
      </c>
      <c r="I6" s="8">
        <f>'BALANCE GENERAL PROYECTADO'!I8-'BALANCE GENERAL PROYECTADO'!I17</f>
        <v>762477.97</v>
      </c>
      <c r="J6" s="8">
        <f>'BALANCE GENERAL PROYECTADO'!J8-'BALANCE GENERAL PROYECTADO'!J17</f>
        <v>1448794.18</v>
      </c>
      <c r="K6" s="8">
        <f>'BALANCE GENERAL PROYECTADO'!K8-'BALANCE GENERAL PROYECTADO'!K17</f>
        <v>2153324.11</v>
      </c>
    </row>
    <row r="7" spans="1:12">
      <c r="A7" s="4" t="s">
        <v>257</v>
      </c>
      <c r="B7" s="9">
        <f>IFERROR('BALANCE GENERAL PROYECTADO'!B8/'BALANCE GENERAL PROYECTADO'!B17,0)</f>
        <v>8.950618815297245</v>
      </c>
      <c r="C7" s="9">
        <f>IFERROR('BALANCE GENERAL PROYECTADO'!C8/'BALANCE GENERAL PROYECTADO'!C17,0)</f>
        <v>-11.508668437658162</v>
      </c>
      <c r="D7" s="9">
        <f>IFERROR('BALANCE GENERAL PROYECTADO'!D8/'BALANCE GENERAL PROYECTADO'!D17,0)</f>
        <v>-2.725355587746847</v>
      </c>
      <c r="E7" s="9">
        <f>IFERROR('BALANCE GENERAL PROYECTADO'!E8/'BALANCE GENERAL PROYECTADO'!E17,0)</f>
        <v>-2.507214898423719</v>
      </c>
      <c r="F7" s="9">
        <f>IFERROR('BALANCE GENERAL PROYECTADO'!F8/'BALANCE GENERAL PROYECTADO'!F17,0)</f>
        <v>-0.10617934247572668</v>
      </c>
      <c r="G7" s="9">
        <f>IFERROR('BALANCE GENERAL PROYECTADO'!G8/'BALANCE GENERAL PROYECTADO'!G17,0)</f>
        <v>1.7917377225716684</v>
      </c>
      <c r="H7" s="9">
        <f>IFERROR('BALANCE GENERAL PROYECTADO'!H8/'BALANCE GENERAL PROYECTADO'!H17,0)</f>
        <v>2.981133830485945</v>
      </c>
      <c r="I7" s="9">
        <f>IFERROR('BALANCE GENERAL PROYECTADO'!I8/'BALANCE GENERAL PROYECTADO'!I17,0)</f>
        <v>4.262919180470897</v>
      </c>
      <c r="J7" s="9">
        <f>IFERROR('BALANCE GENERAL PROYECTADO'!J8/'BALANCE GENERAL PROYECTADO'!J17,0)</f>
        <v>5.495360792407058</v>
      </c>
      <c r="K7" s="9">
        <f>IFERROR('BALANCE GENERAL PROYECTADO'!K8/'BALANCE GENERAL PROYECTADO'!K17,0)</f>
        <v>7.10808841566218</v>
      </c>
    </row>
    <row r="8" spans="1:12">
      <c r="A8" s="4" t="s">
        <v>258</v>
      </c>
      <c r="B8" s="9">
        <f>IFERROR('ESTADO DE RESULTADOS'!B5/'BALANCE GENERAL PROYECTADO'!B7,0)</f>
        <v>8.333333333333336</v>
      </c>
      <c r="C8" s="9">
        <f>IFERROR('ESTADO DE RESULTADOS'!C5/'BALANCE GENERAL PROYECTADO'!C7,0)</f>
        <v>8.333333333333336</v>
      </c>
      <c r="D8" s="9">
        <f>IFERROR('ESTADO DE RESULTADOS'!D5/'BALANCE GENERAL PROYECTADO'!D7,0)</f>
        <v>8.333333333333336</v>
      </c>
      <c r="E8" s="9">
        <f>IFERROR('ESTADO DE RESULTADOS'!E5/'BALANCE GENERAL PROYECTADO'!E7,0)</f>
        <v>8.333333333333336</v>
      </c>
      <c r="F8" s="9">
        <f>IFERROR('ESTADO DE RESULTADOS'!F5/'BALANCE GENERAL PROYECTADO'!F7,0)</f>
        <v>8.333333333333336</v>
      </c>
      <c r="G8" s="9">
        <f>IFERROR('ESTADO DE RESULTADOS'!G5/'BALANCE GENERAL PROYECTADO'!G7,0)</f>
        <v>8.333333333333336</v>
      </c>
      <c r="H8" s="9">
        <f>IFERROR('ESTADO DE RESULTADOS'!H5/'BALANCE GENERAL PROYECTADO'!H7,0)</f>
        <v>8.333333333333336</v>
      </c>
      <c r="I8" s="9">
        <f>IFERROR('ESTADO DE RESULTADOS'!I5/'BALANCE GENERAL PROYECTADO'!I7,0)</f>
        <v>8.333333333333336</v>
      </c>
      <c r="J8" s="9">
        <f>IFERROR('ESTADO DE RESULTADOS'!J5/'BALANCE GENERAL PROYECTADO'!J7,0)</f>
        <v>8.333333333333334</v>
      </c>
      <c r="K8" s="9">
        <f>IFERROR('ESTADO DE RESULTADOS'!K5/'BALANCE GENERAL PROYECTADO'!K7,0)</f>
        <v>8.333333333333336</v>
      </c>
    </row>
    <row r="9" spans="1:12">
      <c r="A9" s="4" t="s">
        <v>259</v>
      </c>
      <c r="B9" s="9">
        <f>IFERROR(360/('ESTADO DE RESULTADOS'!B5/'BALANCE GENERAL PROYECTADO'!B7),0)</f>
        <v>43.19999999999999</v>
      </c>
      <c r="C9" s="9">
        <f>IFERROR(360/('ESTADO DE RESULTADOS'!C5/'BALANCE GENERAL PROYECTADO'!C7),0)</f>
        <v>43.19999999999999</v>
      </c>
      <c r="D9" s="9">
        <f>IFERROR(360/('ESTADO DE RESULTADOS'!D5/'BALANCE GENERAL PROYECTADO'!D7),0)</f>
        <v>43.19999999999999</v>
      </c>
      <c r="E9" s="9">
        <f>IFERROR(360/('ESTADO DE RESULTADOS'!E5/'BALANCE GENERAL PROYECTADO'!E7),0)</f>
        <v>43.19999999999999</v>
      </c>
      <c r="F9" s="9">
        <f>IFERROR(360/('ESTADO DE RESULTADOS'!F5/'BALANCE GENERAL PROYECTADO'!F7),0)</f>
        <v>43.19999999999999</v>
      </c>
      <c r="G9" s="9">
        <f>IFERROR(360/('ESTADO DE RESULTADOS'!G5/'BALANCE GENERAL PROYECTADO'!G7),0)</f>
        <v>43.19999999999999</v>
      </c>
      <c r="H9" s="9">
        <f>IFERROR(360/('ESTADO DE RESULTADOS'!H5/'BALANCE GENERAL PROYECTADO'!H7),0)</f>
        <v>43.19999999999999</v>
      </c>
      <c r="I9" s="9">
        <f>IFERROR(360/('ESTADO DE RESULTADOS'!I5/'BALANCE GENERAL PROYECTADO'!I7),0)</f>
        <v>43.19999999999999</v>
      </c>
      <c r="J9" s="9">
        <f>IFERROR(360/('ESTADO DE RESULTADOS'!J5/'BALANCE GENERAL PROYECTADO'!J7),0)</f>
        <v>43.199999999999996</v>
      </c>
      <c r="K9" s="9">
        <f>IFERROR(360/('ESTADO DE RESULTADOS'!K5/'BALANCE GENERAL PROYECTADO'!K7),0)</f>
        <v>43.19999999999999</v>
      </c>
    </row>
    <row r="10" spans="1:12">
      <c r="A10" s="4" t="s">
        <v>260</v>
      </c>
      <c r="B10" s="9">
        <f>IFERROR('COSTOS'!B8/'BALANCE GENERAL PROYECTADO'!B14,0)</f>
        <v>9.523809523809524</v>
      </c>
      <c r="C10" s="9">
        <f>IFERROR('COSTOS'!C8/'BALANCE GENERAL PROYECTADO'!C14,0)</f>
        <v>9.523809523809524</v>
      </c>
      <c r="D10" s="9">
        <f>IFERROR('COSTOS'!D8/'BALANCE GENERAL PROYECTADO'!D14,0)</f>
        <v>9.523809523809522</v>
      </c>
      <c r="E10" s="9">
        <f>IFERROR('COSTOS'!E8/'BALANCE GENERAL PROYECTADO'!E14,0)</f>
        <v>9.523809523809524</v>
      </c>
      <c r="F10" s="9">
        <f>IFERROR('COSTOS'!F8/'BALANCE GENERAL PROYECTADO'!F14,0)</f>
        <v>9.523809523809522</v>
      </c>
      <c r="G10" s="9">
        <f>IFERROR('COSTOS'!G8/'BALANCE GENERAL PROYECTADO'!G14,0)</f>
        <v>9.523809523809524</v>
      </c>
      <c r="H10" s="9">
        <f>IFERROR('COSTOS'!H8/'BALANCE GENERAL PROYECTADO'!H14,0)</f>
        <v>9.523809523809524</v>
      </c>
      <c r="I10" s="9">
        <f>IFERROR('COSTOS'!I8/'BALANCE GENERAL PROYECTADO'!I14,0)</f>
        <v>9.523809523809522</v>
      </c>
      <c r="J10" s="9">
        <f>IFERROR('COSTOS'!J8/'BALANCE GENERAL PROYECTADO'!J14,0)</f>
        <v>9.523809523809522</v>
      </c>
      <c r="K10" s="9">
        <f>IFERROR('COSTOS'!K8/'BALANCE GENERAL PROYECTADO'!K14,0)</f>
        <v>9.523809523809522</v>
      </c>
    </row>
    <row r="11" spans="1:12">
      <c r="A11" s="4" t="s">
        <v>261</v>
      </c>
      <c r="B11" s="9">
        <f>IFERROR(360/('COSTOS'!B8/'BALANCE GENERAL PROYECTADO'!B14),0)</f>
        <v>37.8</v>
      </c>
      <c r="C11" s="9">
        <f>IFERROR(360/('COSTOS'!C8/'BALANCE GENERAL PROYECTADO'!C14),0)</f>
        <v>37.8</v>
      </c>
      <c r="D11" s="9">
        <f>IFERROR(360/('COSTOS'!D8/'BALANCE GENERAL PROYECTADO'!D14),0)</f>
        <v>37.800000000000004</v>
      </c>
      <c r="E11" s="9">
        <f>IFERROR(360/('COSTOS'!E8/'BALANCE GENERAL PROYECTADO'!E14),0)</f>
        <v>37.8</v>
      </c>
      <c r="F11" s="9">
        <f>IFERROR(360/('COSTOS'!F8/'BALANCE GENERAL PROYECTADO'!F14),0)</f>
        <v>37.800000000000004</v>
      </c>
      <c r="G11" s="9">
        <f>IFERROR(360/('COSTOS'!G8/'BALANCE GENERAL PROYECTADO'!G14),0)</f>
        <v>37.8</v>
      </c>
      <c r="H11" s="9">
        <f>IFERROR(360/('COSTOS'!H8/'BALANCE GENERAL PROYECTADO'!H14),0)</f>
        <v>37.8</v>
      </c>
      <c r="I11" s="9">
        <f>IFERROR(360/('COSTOS'!I8/'BALANCE GENERAL PROYECTADO'!I14),0)</f>
        <v>37.800000000000004</v>
      </c>
      <c r="J11" s="9">
        <f>IFERROR(360/('COSTOS'!J8/'BALANCE GENERAL PROYECTADO'!J14),0)</f>
        <v>37.800000000000004</v>
      </c>
      <c r="K11" s="9">
        <f>IFERROR(360/('COSTOS'!K8/'BALANCE GENERAL PROYECTADO'!K14),0)</f>
        <v>37.800000000000004</v>
      </c>
    </row>
    <row r="12" spans="1:12">
      <c r="A12" s="4" t="s">
        <v>262</v>
      </c>
      <c r="B12" s="10">
        <f>IFERROR('BALANCE GENERAL PROYECTADO'!B19/'BALANCE GENERAL PROYECTADO'!B11,0)</f>
        <v>0.6054923670014952</v>
      </c>
      <c r="C12" s="10">
        <f>IFERROR('BALANCE GENERAL PROYECTADO'!C19/'BALANCE GENERAL PROYECTADO'!C11,0)</f>
        <v>1.7451793755899883</v>
      </c>
      <c r="D12" s="10">
        <f>IFERROR('BALANCE GENERAL PROYECTADO'!D19/'BALANCE GENERAL PROYECTADO'!D11,0)</f>
        <v>10.661865006222198</v>
      </c>
      <c r="E12" s="10">
        <f>IFERROR('BALANCE GENERAL PROYECTADO'!E19/'BALANCE GENERAL PROYECTADO'!E11,0)</f>
        <v>-3.43587735936709</v>
      </c>
      <c r="F12" s="10">
        <f>IFERROR('BALANCE GENERAL PROYECTADO'!F19/'BALANCE GENERAL PROYECTADO'!F11,0)</f>
        <v>68.07513023337307</v>
      </c>
      <c r="G12" s="10">
        <f>IFERROR('BALANCE GENERAL PROYECTADO'!G19/'BALANCE GENERAL PROYECTADO'!G11,0)</f>
        <v>0.6967131639517591</v>
      </c>
      <c r="H12" s="10">
        <f>IFERROR('BALANCE GENERAL PROYECTADO'!H19/'BALANCE GENERAL PROYECTADO'!H11,0)</f>
        <v>0.33278029556966393</v>
      </c>
      <c r="I12" s="10">
        <f>IFERROR('BALANCE GENERAL PROYECTADO'!I19/'BALANCE GENERAL PROYECTADO'!I11,0)</f>
        <v>0.23373634010323602</v>
      </c>
      <c r="J12" s="10">
        <f>IFERROR('BALANCE GENERAL PROYECTADO'!J19/'BALANCE GENERAL PROYECTADO'!J11,0)</f>
        <v>0.18178691827390145</v>
      </c>
      <c r="K12" s="10">
        <f>IFERROR('BALANCE GENERAL PROYECTADO'!K19/'BALANCE GENERAL PROYECTADO'!K11,0)</f>
        <v>0.14068480040239362</v>
      </c>
    </row>
    <row r="13" spans="1:12">
      <c r="A13" s="4" t="s">
        <v>263</v>
      </c>
      <c r="B13" s="9">
        <f>IFERROR('BALANCE GENERAL PROYECTADO'!B19/'BALANCE GENERAL PROYECTADO'!B25,0)</f>
        <v>1.5348052011044102</v>
      </c>
      <c r="C13" s="9">
        <f>IFERROR('BALANCE GENERAL PROYECTADO'!C19/'BALANCE GENERAL PROYECTADO'!C25,0)</f>
        <v>-1.8446810041187316</v>
      </c>
      <c r="D13" s="9">
        <f>IFERROR('BALANCE GENERAL PROYECTADO'!D19/'BALANCE GENERAL PROYECTADO'!D25,0)</f>
        <v>-1.0792697914744207</v>
      </c>
      <c r="E13" s="9">
        <f>IFERROR('BALANCE GENERAL PROYECTADO'!E19/'BALANCE GENERAL PROYECTADO'!E25,0)</f>
        <v>-0.758499354742786</v>
      </c>
      <c r="F13" s="9">
        <f>IFERROR('BALANCE GENERAL PROYECTADO'!F19/'BALANCE GENERAL PROYECTADO'!F25,0)</f>
        <v>-0.9821184352807506</v>
      </c>
      <c r="G13" s="9">
        <f>IFERROR('BALANCE GENERAL PROYECTADO'!G19/'BALANCE GENERAL PROYECTADO'!G25,0)</f>
        <v>2.4570933128396226</v>
      </c>
      <c r="H13" s="9">
        <f>IFERROR('BALANCE GENERAL PROYECTADO'!H19/'BALANCE GENERAL PROYECTADO'!H25,0)</f>
        <v>0.5061753886952894</v>
      </c>
      <c r="I13" s="9">
        <f>IFERROR('BALANCE GENERAL PROYECTADO'!I19/'BALANCE GENERAL PROYECTADO'!I25,0)</f>
        <v>0.28860341646348187</v>
      </c>
      <c r="J13" s="9">
        <f>IFERROR('BALANCE GENERAL PROYECTADO'!J19/'BALANCE GENERAL PROYECTADO'!J25,0)</f>
        <v>0.2221755216751176</v>
      </c>
      <c r="K13" s="9">
        <f>IFERROR('BALANCE GENERAL PROYECTADO'!K19/'BALANCE GENERAL PROYECTADO'!K25,0)</f>
        <v>0.16371734198146673</v>
      </c>
    </row>
    <row r="14" spans="1:12">
      <c r="A14" s="4" t="s">
        <v>264</v>
      </c>
      <c r="B14" s="10">
        <f>IFERROR('ESTADO DE RESULTADOS'!B7/'ESTADO DE RESULTADOS'!B5,0)</f>
        <v>0.4800402801196452</v>
      </c>
      <c r="C14" s="10">
        <f>IFERROR('ESTADO DE RESULTADOS'!C7/'ESTADO DE RESULTADOS'!C5,0)</f>
        <v>-0.16053766178144113</v>
      </c>
      <c r="D14" s="10">
        <f>IFERROR('ESTADO DE RESULTADOS'!D7/'ESTADO DE RESULTADOS'!D5,0)</f>
        <v>0.313828154337991</v>
      </c>
      <c r="E14" s="10">
        <f>IFERROR('ESTADO DE RESULTADOS'!E7/'ESTADO DE RESULTADOS'!E5,0)</f>
        <v>0.37292743663566136</v>
      </c>
      <c r="F14" s="10">
        <f>IFERROR('ESTADO DE RESULTADOS'!F7/'ESTADO DE RESULTADOS'!F5,0)</f>
        <v>0.46732790354333537</v>
      </c>
      <c r="G14" s="10">
        <f>IFERROR('ESTADO DE RESULTADOS'!G7/'ESTADO DE RESULTADOS'!G5,0)</f>
        <v>0.5355149237825778</v>
      </c>
      <c r="H14" s="10">
        <f>IFERROR('ESTADO DE RESULTADOS'!H7/'ESTADO DE RESULTADOS'!H5,0)</f>
        <v>0.5732064360594922</v>
      </c>
      <c r="I14" s="10">
        <f>IFERROR('ESTADO DE RESULTADOS'!I7/'ESTADO DE RESULTADOS'!I5,0)</f>
        <v>0.5562955878997414</v>
      </c>
      <c r="J14" s="10">
        <f>IFERROR('ESTADO DE RESULTADOS'!J7/'ESTADO DE RESULTADOS'!J5,0)</f>
        <v>0.6034620572941132</v>
      </c>
      <c r="K14" s="10">
        <f>IFERROR('ESTADO DE RESULTADOS'!K7/'ESTADO DE RESULTADOS'!K5,0)</f>
        <v>0.6073950625204422</v>
      </c>
    </row>
    <row r="15" spans="1:12">
      <c r="A15" s="4" t="s">
        <v>265</v>
      </c>
      <c r="B15" s="10">
        <f>IFERROR('ESTADO DE RESULTADOS'!B11/'ESTADO DE RESULTADOS'!B5,0)</f>
        <v>0.09916539075269239</v>
      </c>
      <c r="C15" s="10">
        <f>IFERROR('ESTADO DE RESULTADOS'!C11/'ESTADO DE RESULTADOS'!C5,0)</f>
        <v>-1.0610717781332464</v>
      </c>
      <c r="D15" s="10">
        <f>IFERROR('ESTADO DE RESULTADOS'!D11/'ESTADO DE RESULTADOS'!D5,0)</f>
        <v>-0.08082946417157258</v>
      </c>
      <c r="E15" s="10">
        <f>IFERROR('ESTADO DE RESULTADOS'!E11/'ESTADO DE RESULTADOS'!E5,0)</f>
        <v>-0.019520098076825733</v>
      </c>
      <c r="F15" s="10">
        <f>IFERROR('ESTADO DE RESULTADOS'!F11/'ESTADO DE RESULTADOS'!F5,0)</f>
        <v>0.13464073795202552</v>
      </c>
      <c r="G15" s="10">
        <f>IFERROR('ESTADO DE RESULTADOS'!G11/'ESTADO DE RESULTADOS'!G5,0)</f>
        <v>0.3310273635637983</v>
      </c>
      <c r="H15" s="10">
        <f>IFERROR('ESTADO DE RESULTADOS'!H11/'ESTADO DE RESULTADOS'!H5,0)</f>
        <v>0.401896654678708</v>
      </c>
      <c r="I15" s="10">
        <f>IFERROR('ESTADO DE RESULTADOS'!I11/'ESTADO DE RESULTADOS'!I5,0)</f>
        <v>0.3710278644189064</v>
      </c>
      <c r="J15" s="10">
        <f>IFERROR('ESTADO DE RESULTADOS'!J11/'ESTADO DE RESULTADOS'!J5,0)</f>
        <v>0.45986999495036834</v>
      </c>
      <c r="K15" s="10">
        <f>IFERROR('ESTADO DE RESULTADOS'!K11/'ESTADO DE RESULTADOS'!K5,0)</f>
        <v>0.46794815969062165</v>
      </c>
    </row>
    <row r="16" spans="1:12">
      <c r="A16" s="4" t="s">
        <v>266</v>
      </c>
      <c r="B16" s="10">
        <f>IFERROR('ESTADO DE RESULTADOS'!B15/'ESTADO DE RESULTADOS'!B5,0)</f>
        <v>0.014574080857414223</v>
      </c>
      <c r="C16" s="10">
        <f>IFERROR('ESTADO DE RESULTADOS'!C15/'ESTADO DE RESULTADOS'!C5,0)</f>
        <v>-1.2485259560008788</v>
      </c>
      <c r="D16" s="10">
        <f>IFERROR('ESTADO DE RESULTADOS'!D15/'ESTADO DE RESULTADOS'!D5,0)</f>
        <v>-0.15763441813889323</v>
      </c>
      <c r="E16" s="10">
        <f>IFERROR('ESTADO DE RESULTADOS'!E15/'ESTADO DE RESULTADOS'!E5,0)</f>
        <v>-0.07625913129618275</v>
      </c>
      <c r="F16" s="10">
        <f>IFERROR('ESTADO DE RESULTADOS'!F15/'ESTADO DE RESULTADOS'!F5,0)</f>
        <v>0.06922523993976097</v>
      </c>
      <c r="G16" s="10">
        <f>IFERROR('ESTADO DE RESULTADOS'!G15/'ESTADO DE RESULTADOS'!G5,0)</f>
        <v>0.21974235027000288</v>
      </c>
      <c r="H16" s="10">
        <f>IFERROR('ESTADO DE RESULTADOS'!H15/'ESTADO DE RESULTADOS'!H5,0)</f>
        <v>0.2756421859476184</v>
      </c>
      <c r="I16" s="10">
        <f>IFERROR('ESTADO DE RESULTADOS'!I15/'ESTADO DE RESULTADOS'!I5,0)</f>
        <v>0.25764019358230955</v>
      </c>
      <c r="J16" s="10">
        <f>IFERROR('ESTADO DE RESULTADOS'!J15/'ESTADO DE RESULTADOS'!J5,0)</f>
        <v>0.3242083464400097</v>
      </c>
      <c r="K16" s="10">
        <f>IFERROR('ESTADO DE RESULTADOS'!K15/'ESTADO DE RESULTADOS'!K5,0)</f>
        <v>0.32990345258188825</v>
      </c>
    </row>
    <row r="17" spans="1:11">
      <c r="A17" s="4" t="s">
        <v>267</v>
      </c>
      <c r="B17" s="9">
        <f>IFERROR('ESTADO DE RESULTADOS'!B5/'BALANCE GENERAL PROYECTADO'!B11,0)</f>
        <v>1.2922446464447772</v>
      </c>
      <c r="C17" s="9">
        <f>IFERROR('ESTADO DE RESULTADOS'!C5/'BALANCE GENERAL PROYECTADO'!C11,0)</f>
        <v>1.8212873760684307</v>
      </c>
      <c r="D17" s="9">
        <f>IFERROR('ESTADO DE RESULTADOS'!D5/'BALANCE GENERAL PROYECTADO'!D11,0)</f>
        <v>26.6658693442526</v>
      </c>
      <c r="E17" s="9">
        <f>IFERROR('ESTADO DE RESULTADOS'!E5/'BALANCE GENERAL PROYECTADO'!E11,0)</f>
        <v>-11.847166444910362</v>
      </c>
      <c r="F17" s="9">
        <f>IFERROR('ESTADO DE RESULTADOS'!F5/'BALANCE GENERAL PROYECTADO'!F11,0)</f>
        <v>320.4407619797545</v>
      </c>
      <c r="G17" s="9">
        <f>IFERROR('ESTADO DE RESULTADOS'!G5/'BALANCE GENERAL PROYECTADO'!G11,0)</f>
        <v>3.6461121984316165</v>
      </c>
      <c r="H17" s="9">
        <f>IFERROR('ESTADO DE RESULTADOS'!H5/'BALANCE GENERAL PROYECTADO'!H11,0)</f>
        <v>1.9531459059586425</v>
      </c>
      <c r="I17" s="9">
        <f>IFERROR('ESTADO DE RESULTADOS'!I5/'BALANCE GENERAL PROYECTADO'!I11,0)</f>
        <v>1.4070281772366984</v>
      </c>
      <c r="J17" s="9">
        <f>IFERROR('ESTADO DE RESULTADOS'!J5/'BALANCE GENERAL PROYECTADO'!J11,0)</f>
        <v>1.1150349101208954</v>
      </c>
      <c r="K17" s="9">
        <f>IFERROR('ESTADO DE RESULTADOS'!K5/'BALANCE GENERAL PROYECTADO'!K11,0)</f>
        <v>0.8500504090375253</v>
      </c>
    </row>
    <row r="18" spans="1:11">
      <c r="A18" s="4" t="s">
        <v>268</v>
      </c>
      <c r="B18" s="10">
        <f>IFERROR('ESTADO DE RESULTADOS'!B15/'BALANCE GENERAL PROYECTADO'!B11,0)</f>
        <v>0.018833277964846837</v>
      </c>
      <c r="C18" s="10">
        <f>IFERROR('ESTADO DE RESULTADOS'!C15/'BALANCE GENERAL PROYECTADO'!C11,0)</f>
        <v>-2.27392456235817</v>
      </c>
      <c r="D18" s="10">
        <f>IFERROR('ESTADO DE RESULTADOS'!D15/'BALANCE GENERAL PROYECTADO'!D11,0)</f>
        <v>-4.203458798249009</v>
      </c>
      <c r="E18" s="10">
        <f>IFERROR('ESTADO DE RESULTADOS'!E15/'BALANCE GENERAL PROYECTADO'!E11,0)</f>
        <v>0.9034546214101499</v>
      </c>
      <c r="F18" s="10">
        <f>IFERROR('ESTADO DE RESULTADOS'!F15/'BALANCE GENERAL PROYECTADO'!F11,0)</f>
        <v>22.18258863452834</v>
      </c>
      <c r="G18" s="10">
        <f>IFERROR('ESTADO DE RESULTADOS'!G15/'BALANCE GENERAL PROYECTADO'!G11,0)</f>
        <v>0.8012052638314905</v>
      </c>
      <c r="H18" s="10">
        <f>IFERROR('ESTADO DE RESULTADOS'!H15/'BALANCE GENERAL PROYECTADO'!H11,0)</f>
        <v>0.5383694069930818</v>
      </c>
      <c r="I18" s="10">
        <f>IFERROR('ESTADO DE RESULTADOS'!I15/'BALANCE GENERAL PROYECTADO'!I11,0)</f>
        <v>0.3625070119590271</v>
      </c>
      <c r="J18" s="10">
        <f>IFERROR('ESTADO DE RESULTADOS'!J15/'BALANCE GENERAL PROYECTADO'!J11,0)</f>
        <v>0.3615036244331803</v>
      </c>
      <c r="K18" s="10">
        <f>IFERROR('ESTADO DE RESULTADOS'!K15/'BALANCE GENERAL PROYECTADO'!K11,0)</f>
        <v>0.2804345648101259</v>
      </c>
    </row>
    <row r="19" spans="1:11">
      <c r="A19" s="4" t="s">
        <v>269</v>
      </c>
      <c r="B19" s="9">
        <f>IFERROR('ESTADO DE RESULTADOS'!B11/'ESTADO DE RESULTADOS'!B12,0)</f>
        <v>1.263367078189301</v>
      </c>
      <c r="C19" s="9">
        <f>IFERROR('ESTADO DE RESULTADOS'!C11/'ESTADO DE RESULTADOS'!C12,0)</f>
        <v>-5.660432806584362</v>
      </c>
      <c r="D19" s="9">
        <f>IFERROR('ESTADO DE RESULTADOS'!D11/'ESTADO DE RESULTADOS'!D12,0)</f>
        <v>-1.0523990966255161</v>
      </c>
      <c r="E19" s="9">
        <f>IFERROR('ESTADO DE RESULTADOS'!E11/'ESTADO DE RESULTADOS'!E12,0)</f>
        <v>-0.34403296935567595</v>
      </c>
      <c r="F19" s="9">
        <f>IFERROR('ESTADO DE RESULTADOS'!F11/'ESTADO DE RESULTADOS'!F12,0)</f>
        <v>3.6939580474581257</v>
      </c>
      <c r="G19" s="9">
        <f>IFERROR('ESTADO DE RESULTADOS'!G11/'ESTADO DE RESULTADOS'!G12,0)</f>
        <v>17.1196670074585</v>
      </c>
      <c r="H19" s="9">
        <f>IFERROR('ESTADO DE RESULTADOS'!H11/'ESTADO DE RESULTADOS'!H12,0)</f>
        <v>36.82115352510004</v>
      </c>
      <c r="I19" s="9">
        <f>IFERROR('ESTADO DE RESULTADOS'!I11/'ESTADO DE RESULTADOS'!I12,0)</f>
        <v>66.48313971039912</v>
      </c>
      <c r="J19" s="9">
        <f>IFERROR('ESTADO DE RESULTADOS'!J11/'ESTADO DE RESULTADOS'!J12,0)</f>
        <v>0.0</v>
      </c>
      <c r="K19" s="9">
        <f>IFERROR('ESTADO DE RESULTADOS'!K11/'ESTADO DE RESULTADOS'!K12,0)</f>
        <v>0.0</v>
      </c>
    </row>
  </sheetData>
  <mergeCells count="1">
    <mergeCell ref="A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8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0" width="13.7109375" customWidth="1"/>
  </cols>
  <sheetData>
    <row r="1" spans="1:10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271</v>
      </c>
      <c r="B2" s="11" t="s">
        <v>272</v>
      </c>
      <c r="C2" s="11"/>
      <c r="D2" s="11"/>
      <c r="E2" s="11"/>
      <c r="F2" s="11"/>
      <c r="G2" s="11"/>
      <c r="H2" s="11"/>
      <c r="I2" s="11"/>
      <c r="J2" s="11"/>
    </row>
    <row r="3" spans="1:10">
      <c r="B3" s="11"/>
      <c r="C3" s="11"/>
      <c r="D3" s="11"/>
      <c r="E3" s="11"/>
      <c r="F3" s="11"/>
      <c r="G3" s="11"/>
      <c r="H3" s="11"/>
      <c r="I3" s="11"/>
      <c r="J3" s="11"/>
    </row>
    <row r="4" spans="1:10">
      <c r="B4" s="11"/>
      <c r="C4" s="11"/>
      <c r="D4" s="11"/>
      <c r="E4" s="11"/>
      <c r="F4" s="11"/>
      <c r="G4" s="11"/>
      <c r="H4" s="11"/>
      <c r="I4" s="11"/>
      <c r="J4" s="11"/>
    </row>
    <row r="6" spans="1:10">
      <c r="A6" s="2" t="s">
        <v>273</v>
      </c>
      <c r="B6" s="11" t="s">
        <v>274</v>
      </c>
      <c r="C6" s="11"/>
      <c r="D6" s="11"/>
      <c r="E6" s="11"/>
      <c r="F6" s="11"/>
      <c r="G6" s="11"/>
      <c r="H6" s="11"/>
      <c r="I6" s="11"/>
      <c r="J6" s="11"/>
    </row>
    <row r="7" spans="1:10">
      <c r="B7" s="11"/>
      <c r="C7" s="11"/>
      <c r="D7" s="11"/>
      <c r="E7" s="11"/>
      <c r="F7" s="11"/>
      <c r="G7" s="11"/>
      <c r="H7" s="11"/>
      <c r="I7" s="11"/>
      <c r="J7" s="11"/>
    </row>
    <row r="8" spans="1:10">
      <c r="B8" s="11"/>
      <c r="C8" s="11"/>
      <c r="D8" s="11"/>
      <c r="E8" s="11"/>
      <c r="F8" s="11"/>
      <c r="G8" s="11"/>
      <c r="H8" s="11"/>
      <c r="I8" s="11"/>
      <c r="J8" s="11"/>
    </row>
    <row r="10" spans="1:10">
      <c r="A10" s="2" t="s">
        <v>275</v>
      </c>
      <c r="B10" s="11" t="s">
        <v>276</v>
      </c>
      <c r="C10" s="11"/>
      <c r="D10" s="11"/>
      <c r="E10" s="11"/>
      <c r="F10" s="11"/>
      <c r="G10" s="11"/>
      <c r="H10" s="11"/>
      <c r="I10" s="11"/>
      <c r="J10" s="11"/>
    </row>
    <row r="11" spans="1:10"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B12" s="11"/>
      <c r="C12" s="11"/>
      <c r="D12" s="11"/>
      <c r="E12" s="11"/>
      <c r="F12" s="11"/>
      <c r="G12" s="11"/>
      <c r="H12" s="11"/>
      <c r="I12" s="11"/>
      <c r="J12" s="11"/>
    </row>
    <row r="14" spans="1:10">
      <c r="A14" s="2" t="s">
        <v>277</v>
      </c>
      <c r="B14" s="11" t="s">
        <v>278</v>
      </c>
      <c r="C14" s="11"/>
      <c r="D14" s="11"/>
      <c r="E14" s="11"/>
      <c r="F14" s="11"/>
      <c r="G14" s="11"/>
      <c r="H14" s="11"/>
      <c r="I14" s="11"/>
      <c r="J14" s="11"/>
    </row>
    <row r="15" spans="1:10"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B16" s="11"/>
      <c r="C16" s="11"/>
      <c r="D16" s="11"/>
      <c r="E16" s="11"/>
      <c r="F16" s="11"/>
      <c r="G16" s="11"/>
      <c r="H16" s="11"/>
      <c r="I16" s="11"/>
      <c r="J16" s="11"/>
    </row>
    <row r="18" spans="1:10">
      <c r="A18" s="2" t="s">
        <v>279</v>
      </c>
      <c r="B18" s="11" t="s">
        <v>280</v>
      </c>
      <c r="C18" s="11"/>
      <c r="D18" s="11"/>
      <c r="E18" s="11"/>
      <c r="F18" s="11"/>
      <c r="G18" s="11"/>
      <c r="H18" s="11"/>
      <c r="I18" s="11"/>
      <c r="J18" s="11"/>
    </row>
    <row r="19" spans="1:10"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B20" s="11"/>
      <c r="C20" s="11"/>
      <c r="D20" s="11"/>
      <c r="E20" s="11"/>
      <c r="F20" s="11"/>
      <c r="G20" s="11"/>
      <c r="H20" s="11"/>
      <c r="I20" s="11"/>
      <c r="J20" s="11"/>
    </row>
    <row r="22" spans="1:10">
      <c r="A22" s="2" t="s">
        <v>281</v>
      </c>
      <c r="B22" s="11" t="s">
        <v>282</v>
      </c>
      <c r="C22" s="11"/>
      <c r="D22" s="11"/>
      <c r="E22" s="11"/>
      <c r="F22" s="11"/>
      <c r="G22" s="11"/>
      <c r="H22" s="11"/>
      <c r="I22" s="11"/>
      <c r="J22" s="11"/>
    </row>
    <row r="23" spans="1:10">
      <c r="B23" s="11"/>
      <c r="C23" s="11"/>
      <c r="D23" s="11"/>
      <c r="E23" s="11"/>
      <c r="F23" s="11"/>
      <c r="G23" s="11"/>
      <c r="H23" s="11"/>
      <c r="I23" s="11"/>
      <c r="J23" s="11"/>
    </row>
    <row r="24" spans="1:10">
      <c r="B24" s="11"/>
      <c r="C24" s="11"/>
      <c r="D24" s="11"/>
      <c r="E24" s="11"/>
      <c r="F24" s="11"/>
      <c r="G24" s="11"/>
      <c r="H24" s="11"/>
      <c r="I24" s="11"/>
      <c r="J24" s="11"/>
    </row>
    <row r="26" spans="1:10">
      <c r="A26" s="2" t="s">
        <v>283</v>
      </c>
      <c r="B26" s="11" t="s">
        <v>284</v>
      </c>
      <c r="C26" s="11"/>
      <c r="D26" s="11"/>
      <c r="E26" s="11"/>
      <c r="F26" s="11"/>
      <c r="G26" s="11"/>
      <c r="H26" s="11"/>
      <c r="I26" s="11"/>
      <c r="J26" s="11"/>
    </row>
    <row r="27" spans="1:10">
      <c r="B27" s="11"/>
      <c r="C27" s="11"/>
      <c r="D27" s="11"/>
      <c r="E27" s="11"/>
      <c r="F27" s="11"/>
      <c r="G27" s="11"/>
      <c r="H27" s="11"/>
      <c r="I27" s="11"/>
      <c r="J27" s="11"/>
    </row>
    <row r="28" spans="1:10">
      <c r="B28" s="11"/>
      <c r="C28" s="11"/>
      <c r="D28" s="11"/>
      <c r="E28" s="11"/>
      <c r="F28" s="11"/>
      <c r="G28" s="11"/>
      <c r="H28" s="11"/>
      <c r="I28" s="11"/>
      <c r="J28" s="11"/>
    </row>
  </sheetData>
  <mergeCells count="8">
    <mergeCell ref="A1:J1"/>
    <mergeCell ref="B2:J4"/>
    <mergeCell ref="B6:J8"/>
    <mergeCell ref="B10:J12"/>
    <mergeCell ref="B14:J16"/>
    <mergeCell ref="B18:J20"/>
    <mergeCell ref="B22:J24"/>
    <mergeCell ref="B26:J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1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285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2">
      <c r="A5" s="4" t="s">
        <v>116</v>
      </c>
      <c r="B5" s="8">
        <v>412776</v>
      </c>
      <c r="C5" s="8">
        <v>172842.24</v>
      </c>
      <c r="D5" s="8">
        <v>421847.79</v>
      </c>
      <c r="E5" s="8">
        <v>510557.02</v>
      </c>
      <c r="F5" s="8">
        <v>683679.0699999999</v>
      </c>
      <c r="G5" s="8">
        <v>1041645.71</v>
      </c>
      <c r="H5" s="8">
        <v>1328770.66</v>
      </c>
      <c r="I5" s="8">
        <v>1406687.21</v>
      </c>
      <c r="J5" s="8">
        <v>1976823.87</v>
      </c>
      <c r="K5" s="8">
        <v>2130107.83</v>
      </c>
    </row>
    <row r="6" spans="1:12">
      <c r="A6" s="4" t="s">
        <v>286</v>
      </c>
      <c r="B6" s="8">
        <f>SUM(B7,B8,B9)</f>
        <v>168366.23</v>
      </c>
      <c r="C6" s="8">
        <f>SUM(C7,C8,C9)</f>
        <v>139786.69</v>
      </c>
      <c r="D6" s="8">
        <f>SUM(D7,D8,D9)</f>
        <v>220356.87</v>
      </c>
      <c r="E6" s="8">
        <f>SUM(E7,E8,E9)</f>
        <v>248869.77</v>
      </c>
      <c r="F6" s="8">
        <f>SUM(F7,F8,F9)</f>
        <v>297819.57</v>
      </c>
      <c r="G6" s="8">
        <f>SUM(G7,G8,G9)</f>
        <v>414364.19</v>
      </c>
      <c r="H6" s="8">
        <f>SUM(H7,H8,H9)</f>
        <v>494910.68</v>
      </c>
      <c r="I6" s="8">
        <f>SUM(I7,I8,I9)</f>
        <v>541047.64</v>
      </c>
      <c r="J6" s="8">
        <f>SUM(J7,J8,J9)</f>
        <v>697498.96</v>
      </c>
      <c r="K6" s="8">
        <f>SUM(K7,K8,K9)</f>
        <v>746491.88</v>
      </c>
    </row>
    <row r="7" spans="1:12">
      <c r="A7" s="4" t="s">
        <v>287</v>
      </c>
      <c r="B7" s="8">
        <v>103738</v>
      </c>
      <c r="C7" s="8">
        <v>44603.12</v>
      </c>
      <c r="D7" s="8">
        <v>106319.15</v>
      </c>
      <c r="E7" s="8">
        <v>130270.54</v>
      </c>
      <c r="F7" s="8">
        <v>174476.38</v>
      </c>
      <c r="G7" s="8">
        <v>269786.56</v>
      </c>
      <c r="H7" s="8">
        <v>344549.94</v>
      </c>
      <c r="I7" s="8">
        <v>365863.97</v>
      </c>
      <c r="J7" s="8">
        <v>515307.94</v>
      </c>
      <c r="K7" s="8">
        <v>557013.21</v>
      </c>
    </row>
    <row r="8" spans="1:12">
      <c r="A8" s="4" t="s">
        <v>288</v>
      </c>
      <c r="B8" s="8">
        <v>47648.23</v>
      </c>
      <c r="C8" s="8">
        <v>72124.37</v>
      </c>
      <c r="D8" s="8">
        <v>90056.14999999999</v>
      </c>
      <c r="E8" s="8">
        <v>93658.39</v>
      </c>
      <c r="F8" s="8">
        <v>97404.73</v>
      </c>
      <c r="G8" s="8">
        <v>117601.63</v>
      </c>
      <c r="H8" s="8">
        <v>122305.69</v>
      </c>
      <c r="I8" s="8">
        <v>146006.43</v>
      </c>
      <c r="J8" s="8">
        <v>151846.69</v>
      </c>
      <c r="K8" s="8">
        <v>157920.56</v>
      </c>
    </row>
    <row r="9" spans="1:12">
      <c r="A9" s="4" t="s">
        <v>289</v>
      </c>
      <c r="B9" s="8">
        <v>16980</v>
      </c>
      <c r="C9" s="8">
        <v>23059.2</v>
      </c>
      <c r="D9" s="8">
        <v>23981.57</v>
      </c>
      <c r="E9" s="8">
        <v>24940.83</v>
      </c>
      <c r="F9" s="8">
        <v>25938.46</v>
      </c>
      <c r="G9" s="8">
        <v>26976</v>
      </c>
      <c r="H9" s="8">
        <v>28055.04</v>
      </c>
      <c r="I9" s="8">
        <v>29177.24</v>
      </c>
      <c r="J9" s="8">
        <v>30344.33</v>
      </c>
      <c r="K9" s="8">
        <v>31558.11</v>
      </c>
    </row>
    <row r="10" spans="1:12">
      <c r="A10" s="4" t="s">
        <v>290</v>
      </c>
      <c r="B10" s="8">
        <v>185276.68</v>
      </c>
      <c r="C10" s="8">
        <v>198253.58</v>
      </c>
      <c r="D10" s="8">
        <v>217388.65</v>
      </c>
      <c r="E10" s="8">
        <v>250021.89</v>
      </c>
      <c r="F10" s="8">
        <v>280127.8</v>
      </c>
      <c r="G10" s="8">
        <v>300809.64</v>
      </c>
      <c r="H10" s="8">
        <v>312534.81</v>
      </c>
      <c r="I10" s="8">
        <v>349769.83</v>
      </c>
      <c r="J10" s="8">
        <v>368442.92</v>
      </c>
      <c r="K10" s="8">
        <v>385035.92</v>
      </c>
    </row>
    <row r="11" spans="1:12">
      <c r="A11" s="7" t="s">
        <v>291</v>
      </c>
      <c r="B11" s="7">
        <f>IFERROR(B10/(1-B6/B5),0)</f>
        <v>312907.97</v>
      </c>
      <c r="C11" s="7">
        <f>IFERROR(C10/(1-C6/C5),0)</f>
        <v>1036636.46</v>
      </c>
      <c r="D11" s="7">
        <f>IFERROR(D10/(1-D6/D5),0)</f>
        <v>455131.78</v>
      </c>
      <c r="E11" s="7">
        <f>IFERROR(E10/(1-E6/E5),0)</f>
        <v>487797.66</v>
      </c>
      <c r="F11" s="7">
        <f>IFERROR(F10/(1-F6/F5),0)</f>
        <v>496340.03</v>
      </c>
      <c r="G11" s="7">
        <f>IFERROR(G10/(1-G6/G5),0)</f>
        <v>499515.86</v>
      </c>
      <c r="H11" s="7">
        <f>IFERROR(H10/(1-H6/H5),0)</f>
        <v>498029.75</v>
      </c>
      <c r="I11" s="7">
        <f>IFERROR(I10/(1-I6/I5),0)</f>
        <v>568385.23</v>
      </c>
      <c r="J11" s="7">
        <f>IFERROR(J10/(1-J6/J5),0)</f>
        <v>569321.18</v>
      </c>
      <c r="K11" s="7">
        <f>IFERROR(K10/(1-K6/K5),0)</f>
        <v>592771.44</v>
      </c>
    </row>
    <row r="12" spans="1:12">
      <c r="A12" s="4" t="s">
        <v>292</v>
      </c>
      <c r="B12" s="9">
        <f>IFERROR(B11/(B5/MAX(1,'COSTOS'!B12+'COSTOS'!B14)),0)</f>
        <v>2.27417272798544</v>
      </c>
      <c r="C12" s="9">
        <f>IFERROR(C11/(C5/MAX(1,'COSTOS'!C12+'COSTOS'!C14)),0)</f>
        <v>20.99155637598471</v>
      </c>
      <c r="D12" s="9">
        <f>IFERROR(D11/(D5/MAX(1,'COSTOS'!D12+'COSTOS'!D14)),0)</f>
        <v>6.473402898825912</v>
      </c>
      <c r="E12" s="9">
        <f>IFERROR(E11/(E5/MAX(1,'COSTOS'!E12+'COSTOS'!E14)),0)</f>
        <v>7.643379954519255</v>
      </c>
      <c r="F12" s="9">
        <f>IFERROR(F11/(F5/MAX(1,'COSTOS'!F12+'COSTOS'!F14)),0)</f>
        <v>8.34881534708851</v>
      </c>
      <c r="G12" s="9">
        <f>IFERROR(G11/(G5/MAX(1,'COSTOS'!G12+'COSTOS'!G14)),0)</f>
        <v>6.953400730231406</v>
      </c>
      <c r="H12" s="9">
        <f>IFERROR(H11/(H5/MAX(1,'COSTOS'!H12+'COSTOS'!H14)),0)</f>
        <v>7.1212930658797875</v>
      </c>
      <c r="I12" s="9">
        <f>IFERROR(I11/(I5/MAX(1,'COSTOS'!I12+'COSTOS'!I14)),0)</f>
        <v>9.29336691043927</v>
      </c>
      <c r="J12" s="9">
        <f>IFERROR(J11/(J5/MAX(1,'COSTOS'!J12+'COSTOS'!J14)),0)</f>
        <v>8.207940995945803</v>
      </c>
      <c r="K12" s="9">
        <f>IFERROR(K11/(K5/MAX(1,'COSTOS'!K12+'COSTOS'!K14)),0)</f>
        <v>9.32245912974954</v>
      </c>
    </row>
    <row r="13" spans="1:12">
      <c r="A13" s="4" t="s">
        <v>293</v>
      </c>
      <c r="B13" s="10">
        <f>IFERROR(B11/B5,0)</f>
        <v>0.7580575759951467</v>
      </c>
      <c r="C13" s="10">
        <f>IFERROR(C11/C5,0)</f>
        <v>5.997587535995632</v>
      </c>
      <c r="D13" s="10">
        <f>IFERROR(D11/D5,0)</f>
        <v>1.0789004831376519</v>
      </c>
      <c r="E13" s="10">
        <f>IFERROR(E11/E5,0)</f>
        <v>0.9554224943149069</v>
      </c>
      <c r="F13" s="10">
        <f>IFERROR(F11/F5,0)</f>
        <v>0.7259839432250879</v>
      </c>
      <c r="G13" s="10">
        <f>IFERROR(G11/G5,0)</f>
        <v>0.4795448779469936</v>
      </c>
      <c r="H13" s="10">
        <f>IFERROR(H11/H5,0)</f>
        <v>0.3748048982041994</v>
      </c>
      <c r="I13" s="10">
        <f>IFERROR(I11/I5,0)</f>
        <v>0.40405943088866386</v>
      </c>
      <c r="J13" s="10">
        <f>IFERROR(J11/J5,0)</f>
        <v>0.2879979296823089</v>
      </c>
      <c r="K13" s="10">
        <f>IFERROR(K11/K5,0)</f>
        <v>0.2782823620820758</v>
      </c>
    </row>
    <row r="17" spans="1:11">
      <c r="A17" s="2" t="s">
        <v>294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11</v>
      </c>
      <c r="K18" s="3" t="s">
        <v>12</v>
      </c>
    </row>
    <row r="19" spans="1:11">
      <c r="A19" s="4" t="s">
        <v>295</v>
      </c>
      <c r="B19" s="8">
        <f>B5-B6</f>
        <v>244409.77</v>
      </c>
      <c r="C19" s="8">
        <f>C5-C6</f>
        <v>33055.55</v>
      </c>
      <c r="D19" s="8">
        <f>D5-D6</f>
        <v>201490.92</v>
      </c>
      <c r="E19" s="8">
        <f>E5-E6</f>
        <v>261687.25</v>
      </c>
      <c r="F19" s="8">
        <f>F5-F6</f>
        <v>385859.5</v>
      </c>
      <c r="G19" s="8">
        <f>G5-G6</f>
        <v>627281.52</v>
      </c>
      <c r="H19" s="8">
        <f>H5-H6</f>
        <v>833859.98</v>
      </c>
      <c r="I19" s="8">
        <f>I5-I6</f>
        <v>865639.57</v>
      </c>
      <c r="J19" s="8">
        <f>J5-J6</f>
        <v>1279324.91</v>
      </c>
      <c r="K19" s="8">
        <f>K5-K6</f>
        <v>1383615.96</v>
      </c>
    </row>
    <row r="20" spans="1:11">
      <c r="A20" s="4" t="s">
        <v>296</v>
      </c>
      <c r="B20" s="8">
        <f>B19-B10</f>
        <v>59133.09</v>
      </c>
      <c r="C20" s="8">
        <f>C19-C10</f>
        <v>-165198.02</v>
      </c>
      <c r="D20" s="8">
        <f>D19-D10</f>
        <v>-15897.73</v>
      </c>
      <c r="E20" s="8">
        <f>E19-E10</f>
        <v>11665.37</v>
      </c>
      <c r="F20" s="8">
        <f>F19-F10</f>
        <v>105731.7</v>
      </c>
      <c r="G20" s="8">
        <f>G19-G10</f>
        <v>326471.88</v>
      </c>
      <c r="H20" s="8">
        <f>H19-H10</f>
        <v>521325.18</v>
      </c>
      <c r="I20" s="8">
        <f>I19-I10</f>
        <v>515869.74</v>
      </c>
      <c r="J20" s="8">
        <f>J19-J10</f>
        <v>910881.98</v>
      </c>
      <c r="K20" s="8">
        <f>K19-K10</f>
        <v>998580.04</v>
      </c>
    </row>
    <row r="21" spans="1:11">
      <c r="A21" s="4" t="s">
        <v>297</v>
      </c>
      <c r="B21" s="9">
        <f>IFERROR(B19/B20,0)</f>
        <v>4.133214768402668</v>
      </c>
      <c r="C21" s="9">
        <f>IFERROR(C19/C20,0)</f>
        <v>-0.20009654514251096</v>
      </c>
      <c r="D21" s="9">
        <f>IFERROR(D19/D20,0)</f>
        <v>-12.674193620023509</v>
      </c>
      <c r="E21" s="9">
        <f>IFERROR(E19/E20,0)</f>
        <v>22.432838819297178</v>
      </c>
      <c r="F21" s="9">
        <f>IFERROR(F19/F20,0)</f>
        <v>3.649421175421993</v>
      </c>
      <c r="G21" s="9">
        <f>IFERROR(G19/G20,0)</f>
        <v>1.9213952512473373</v>
      </c>
      <c r="H21" s="9">
        <f>IFERROR(H19/H20,0)</f>
        <v>1.5995006952671504</v>
      </c>
      <c r="I21" s="9">
        <f>IFERROR(I19/I20,0)</f>
        <v>1.6780196748330047</v>
      </c>
      <c r="J21" s="9">
        <f>IFERROR(J19/J20,0)</f>
        <v>1.404490298116417</v>
      </c>
      <c r="K21" s="9">
        <f>IFERROR(K19/K20,0)</f>
        <v>1.3855834296704868</v>
      </c>
    </row>
  </sheetData>
  <mergeCells count="2">
    <mergeCell ref="A1:L1"/>
    <mergeCell ref="A17:K1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299</v>
      </c>
      <c r="B4" s="3" t="s">
        <v>300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>
      <c r="A5" s="4" t="s">
        <v>301</v>
      </c>
      <c r="B5" s="8">
        <v>300000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</row>
    <row r="6" spans="1:12">
      <c r="A6" s="4" t="s">
        <v>302</v>
      </c>
      <c r="B6" s="8">
        <v>0</v>
      </c>
      <c r="C6" s="8">
        <v>363242.88</v>
      </c>
      <c r="D6" s="8">
        <v>201634.2912</v>
      </c>
      <c r="E6" s="8">
        <v>391967.1229440001</v>
      </c>
      <c r="F6" s="8">
        <v>499911.91372032</v>
      </c>
      <c r="G6" s="8">
        <v>662904.4255605121</v>
      </c>
      <c r="H6" s="8">
        <v>998689.7115513165</v>
      </c>
      <c r="I6" s="8">
        <v>1294315.664699622</v>
      </c>
      <c r="J6" s="8">
        <v>1397337.225225922</v>
      </c>
      <c r="K6" s="8">
        <v>1908407.468714884</v>
      </c>
      <c r="L6" s="8">
        <v>2111713.756516561</v>
      </c>
    </row>
    <row r="7" spans="1:12">
      <c r="A7" s="4" t="s">
        <v>303</v>
      </c>
      <c r="B7" s="8">
        <v>0</v>
      </c>
      <c r="C7" s="8">
        <v>342750.4166666667</v>
      </c>
      <c r="D7" s="8">
        <v>346766.6878666666</v>
      </c>
      <c r="E7" s="8">
        <v>450329.1591821684</v>
      </c>
      <c r="F7" s="8">
        <v>518872.0723628352</v>
      </c>
      <c r="G7" s="8">
        <v>599850.2275566478</v>
      </c>
      <c r="H7" s="8">
        <v>756292.5810695336</v>
      </c>
      <c r="I7" s="8">
        <v>932334.0487981574</v>
      </c>
      <c r="J7" s="8">
        <v>1085452.837171403</v>
      </c>
      <c r="K7" s="8">
        <v>1201900.841123322</v>
      </c>
      <c r="L7" s="8">
        <v>1395327.923175114</v>
      </c>
    </row>
    <row r="8" spans="1:12">
      <c r="A8" s="4" t="s">
        <v>234</v>
      </c>
      <c r="B8" s="8">
        <f>B6-B7</f>
        <v>0.0</v>
      </c>
      <c r="C8" s="8">
        <f>C6-C7</f>
        <v>20492.46</v>
      </c>
      <c r="D8" s="8">
        <f>D6-D7</f>
        <v>-145132.4</v>
      </c>
      <c r="E8" s="8">
        <f>E6-E7</f>
        <v>-58362.04</v>
      </c>
      <c r="F8" s="8">
        <f>F6-F7</f>
        <v>-18960.16</v>
      </c>
      <c r="G8" s="8">
        <f>G6-G7</f>
        <v>63054.2</v>
      </c>
      <c r="H8" s="8">
        <f>H6-H7</f>
        <v>242397.13</v>
      </c>
      <c r="I8" s="8">
        <f>I6-I7</f>
        <v>361981.62</v>
      </c>
      <c r="J8" s="8">
        <f>J6-J7</f>
        <v>311884.39</v>
      </c>
      <c r="K8" s="8">
        <f>K6-K7</f>
        <v>706506.63</v>
      </c>
      <c r="L8" s="8">
        <f>L6-L7</f>
        <v>716385.83</v>
      </c>
    </row>
    <row r="9" spans="1:12">
      <c r="A9" s="4" t="s">
        <v>304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255612.939876321</v>
      </c>
    </row>
    <row r="10" spans="1:12">
      <c r="A10" s="4" t="s">
        <v>305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>
      <c r="A11" s="4" t="s">
        <v>306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35000</v>
      </c>
    </row>
    <row r="12" spans="1:12">
      <c r="A12" s="4" t="s">
        <v>307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-352536.4990558439</v>
      </c>
    </row>
    <row r="13" spans="1:12">
      <c r="A13" s="7" t="s">
        <v>308</v>
      </c>
      <c r="B13" s="7">
        <f>SUM(B5:B12)</f>
        <v>300000.0</v>
      </c>
      <c r="C13" s="7">
        <f>SUM(C5:C12)</f>
        <v>20492.46</v>
      </c>
      <c r="D13" s="7">
        <f>SUM(D5:D12)</f>
        <v>-145132.4</v>
      </c>
      <c r="E13" s="7">
        <f>SUM(E5:E12)</f>
        <v>-58362.04</v>
      </c>
      <c r="F13" s="7">
        <f>SUM(F5:F12)</f>
        <v>-18960.16</v>
      </c>
      <c r="G13" s="7">
        <f>SUM(G5:G12)</f>
        <v>63054.2</v>
      </c>
      <c r="H13" s="7">
        <f>SUM(H5:H12)</f>
        <v>242397.13</v>
      </c>
      <c r="I13" s="7">
        <f>SUM(I5:I12)</f>
        <v>361981.62</v>
      </c>
      <c r="J13" s="7">
        <f>SUM(J5:J12)</f>
        <v>311884.39</v>
      </c>
      <c r="K13" s="7">
        <f>SUM(K5:K12)</f>
        <v>706506.63</v>
      </c>
      <c r="L13" s="7">
        <f>SUM(L5:L12)</f>
        <v>654462.27</v>
      </c>
    </row>
  </sheetData>
  <mergeCells count="1">
    <mergeCell ref="A1:L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32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6" width="13.7109375" customWidth="1"/>
  </cols>
  <sheetData>
    <row r="1" spans="1:16">
      <c r="A1" s="1" t="s">
        <v>309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4" spans="1:16">
      <c r="A4" s="3" t="s">
        <v>2</v>
      </c>
      <c r="B4" s="3" t="s">
        <v>310</v>
      </c>
      <c r="C4" s="3" t="s">
        <v>311</v>
      </c>
      <c r="D4" s="3" t="s">
        <v>312</v>
      </c>
      <c r="E4" s="3" t="s">
        <v>313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</row>
    <row r="5" spans="1:16">
      <c r="A5" s="4" t="s">
        <v>182</v>
      </c>
      <c r="B5" s="8">
        <v>120000</v>
      </c>
      <c r="C5" s="10">
        <f>B5/SUM($B$5:$B$6)</f>
        <v>0.4</v>
      </c>
      <c r="D5" s="10">
        <v>0.09</v>
      </c>
      <c r="E5" s="10">
        <f>C5*D5</f>
        <v>0.036</v>
      </c>
    </row>
    <row r="6" spans="1:16">
      <c r="A6" s="4" t="s">
        <v>184</v>
      </c>
      <c r="B6" s="8">
        <v>180000</v>
      </c>
      <c r="C6" s="10">
        <f>B6/SUM($B$5:$B$6)</f>
        <v>0.6</v>
      </c>
      <c r="D6" s="10">
        <v>0.18</v>
      </c>
      <c r="E6" s="10">
        <f>C6*D6</f>
        <v>0.108</v>
      </c>
    </row>
    <row r="7" spans="1:16">
      <c r="A7" s="4" t="s">
        <v>314</v>
      </c>
      <c r="E7" s="10">
        <f>SUM(E5:E6)</f>
        <v>0.144</v>
      </c>
    </row>
    <row r="8" spans="1:16">
      <c r="A8" s="4" t="s">
        <v>315</v>
      </c>
      <c r="G8" s="10">
        <v>0.03</v>
      </c>
      <c r="H8" s="10">
        <v>0.03</v>
      </c>
      <c r="I8" s="10">
        <v>0.03</v>
      </c>
      <c r="J8" s="10">
        <v>0.03</v>
      </c>
      <c r="K8" s="10">
        <v>0.035</v>
      </c>
      <c r="L8" s="10">
        <v>0.04</v>
      </c>
      <c r="M8" s="10">
        <v>0.04</v>
      </c>
      <c r="N8" s="10">
        <v>0.04</v>
      </c>
      <c r="O8" s="10">
        <v>0.04</v>
      </c>
      <c r="P8" s="10">
        <v>0.04</v>
      </c>
    </row>
    <row r="9" spans="1:16">
      <c r="A9" s="4" t="s">
        <v>316</v>
      </c>
      <c r="E9" s="10">
        <f>AVERAGE(G8:P8)</f>
        <v>0.0355</v>
      </c>
    </row>
    <row r="10" spans="1:16">
      <c r="A10" s="4" t="s">
        <v>317</v>
      </c>
      <c r="E10" s="10">
        <f>E7*E9</f>
        <v>0.005111999999999999</v>
      </c>
    </row>
    <row r="11" spans="1:16">
      <c r="A11" s="7" t="s">
        <v>318</v>
      </c>
      <c r="E11" s="13">
        <f>E7+E9+E10</f>
        <v>0.184612</v>
      </c>
    </row>
    <row r="14" spans="1:16">
      <c r="A14" s="2" t="s">
        <v>319</v>
      </c>
    </row>
    <row r="15" spans="1:16">
      <c r="A15" s="3" t="s">
        <v>320</v>
      </c>
      <c r="B15" s="3" t="s">
        <v>321</v>
      </c>
    </row>
    <row r="16" spans="1:16">
      <c r="A16" s="4" t="s">
        <v>322</v>
      </c>
      <c r="B16" s="8">
        <f>-'FLUJO DE EFECTIVO'!B13</f>
        <v>-300000.0</v>
      </c>
      <c r="C16" s="8">
        <f>B16/((1+$E$11)^0)</f>
        <v>-300000.0</v>
      </c>
    </row>
    <row r="17" spans="1:3">
      <c r="A17" s="4" t="s">
        <v>323</v>
      </c>
      <c r="B17" s="8">
        <f>'FLUJO DE EFECTIVO'!C13</f>
        <v>20492.46</v>
      </c>
      <c r="C17" s="8">
        <f>B17/((1+$E$11)^1)</f>
        <v>17298.882109360125</v>
      </c>
    </row>
    <row r="18" spans="1:3">
      <c r="A18" s="4" t="s">
        <v>324</v>
      </c>
      <c r="B18" s="8">
        <f>'FLUJO DE EFECTIVO'!D13</f>
        <v>-145132.4</v>
      </c>
      <c r="C18" s="8">
        <f>B18/((1+$E$11)^2)</f>
        <v>-103421.80466223697</v>
      </c>
    </row>
    <row r="19" spans="1:3">
      <c r="A19" s="4" t="s">
        <v>325</v>
      </c>
      <c r="B19" s="8">
        <f>'FLUJO DE EFECTIVO'!E13</f>
        <v>-58362.04</v>
      </c>
      <c r="C19" s="8">
        <f>B19/((1+$E$11)^3)</f>
        <v>-35107.67366818304</v>
      </c>
    </row>
    <row r="20" spans="1:3">
      <c r="A20" s="4" t="s">
        <v>326</v>
      </c>
      <c r="B20" s="8">
        <f>'FLUJO DE EFECTIVO'!F13</f>
        <v>-18960.16</v>
      </c>
      <c r="C20" s="8">
        <f>B20/((1+$E$11)^4)</f>
        <v>-9628.030471203565</v>
      </c>
    </row>
    <row r="21" spans="1:3">
      <c r="A21" s="4" t="s">
        <v>327</v>
      </c>
      <c r="B21" s="8">
        <f>'FLUJO DE EFECTIVO'!G13</f>
        <v>63054.2</v>
      </c>
      <c r="C21" s="8">
        <f>B21/((1+$E$11)^5)</f>
        <v>27029.210951474422</v>
      </c>
    </row>
    <row r="22" spans="1:3">
      <c r="A22" s="4" t="s">
        <v>328</v>
      </c>
      <c r="B22" s="8">
        <f>'FLUJO DE EFECTIVO'!H13</f>
        <v>242397.13</v>
      </c>
      <c r="C22" s="8">
        <f>B22/((1+$E$11)^6)</f>
        <v>87714.36186963113</v>
      </c>
    </row>
    <row r="23" spans="1:3">
      <c r="A23" s="4" t="s">
        <v>329</v>
      </c>
      <c r="B23" s="8">
        <f>'FLUJO DE EFECTIVO'!I13</f>
        <v>361981.62</v>
      </c>
      <c r="C23" s="8">
        <f>B23/((1+$E$11)^7)</f>
        <v>110574.15281092835</v>
      </c>
    </row>
    <row r="24" spans="1:3">
      <c r="A24" s="4" t="s">
        <v>330</v>
      </c>
      <c r="B24" s="8">
        <f>'FLUJO DE EFECTIVO'!J13</f>
        <v>311884.39</v>
      </c>
      <c r="C24" s="8">
        <f>B24/((1+$E$11)^8)</f>
        <v>80423.80460523663</v>
      </c>
    </row>
    <row r="25" spans="1:3">
      <c r="A25" s="4" t="s">
        <v>331</v>
      </c>
      <c r="B25" s="8">
        <f>'FLUJO DE EFECTIVO'!K13</f>
        <v>706506.63</v>
      </c>
      <c r="C25" s="8">
        <f>B25/((1+$E$11)^9)</f>
        <v>153791.0602639884</v>
      </c>
    </row>
    <row r="26" spans="1:3">
      <c r="A26" s="4" t="s">
        <v>332</v>
      </c>
      <c r="B26" s="8">
        <f>'FLUJO DE EFECTIVO'!L13</f>
        <v>654462.27</v>
      </c>
      <c r="C26" s="8">
        <f>B26/((1+$E$11)^10)</f>
        <v>120260.59279502358</v>
      </c>
    </row>
    <row r="28" spans="1:3">
      <c r="A28" s="7" t="s">
        <v>333</v>
      </c>
      <c r="B28" s="7">
        <f>SUM(C16:C26)</f>
        <v>148934.55660401905</v>
      </c>
    </row>
    <row r="29" spans="1:3">
      <c r="A29" s="7" t="s">
        <v>334</v>
      </c>
      <c r="B29" s="13">
        <f>IRR(B16:B26)</f>
        <v>0.23410101527292826</v>
      </c>
    </row>
    <row r="30" spans="1:3">
      <c r="A30" s="7" t="s">
        <v>335</v>
      </c>
      <c r="B30" s="6">
        <f>(B28+ABS(B16))/ABS(B16)</f>
        <v>1.4964485220133967</v>
      </c>
    </row>
    <row r="31" spans="1:3">
      <c r="A31" s="7" t="s">
        <v>336</v>
      </c>
      <c r="B31" s="6">
        <v>8.813552466835358</v>
      </c>
    </row>
    <row r="32" spans="1:3">
      <c r="A32" s="2" t="s">
        <v>337</v>
      </c>
      <c r="B32" s="11" t="s">
        <v>338</v>
      </c>
    </row>
  </sheetData>
  <mergeCells count="1">
    <mergeCell ref="A1:P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339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299</v>
      </c>
      <c r="B4" s="3" t="s">
        <v>300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>
      <c r="A5" s="4" t="s">
        <v>301</v>
      </c>
      <c r="B5" s="8">
        <v>300000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</row>
    <row r="6" spans="1:12">
      <c r="A6" s="4" t="s">
        <v>302</v>
      </c>
      <c r="B6" s="8">
        <v>0</v>
      </c>
      <c r="C6" s="8">
        <v>290594.304</v>
      </c>
      <c r="D6" s="8">
        <v>161307.43296</v>
      </c>
      <c r="E6" s="8">
        <v>313573.6983552</v>
      </c>
      <c r="F6" s="8">
        <v>399929.5309762561</v>
      </c>
      <c r="G6" s="8">
        <v>530323.5404484096</v>
      </c>
      <c r="H6" s="8">
        <v>798951.7692410533</v>
      </c>
      <c r="I6" s="8">
        <v>1035452.531759698</v>
      </c>
      <c r="J6" s="8">
        <v>1117869.780180738</v>
      </c>
      <c r="K6" s="8">
        <v>1526725.974971907</v>
      </c>
      <c r="L6" s="8">
        <v>1689371.005213249</v>
      </c>
    </row>
    <row r="7" spans="1:12">
      <c r="A7" s="4" t="s">
        <v>303</v>
      </c>
      <c r="B7" s="8">
        <v>0</v>
      </c>
      <c r="C7" s="8">
        <v>338272.1846666667</v>
      </c>
      <c r="D7" s="8">
        <v>342677.1776533333</v>
      </c>
      <c r="E7" s="8">
        <v>446419.9561805684</v>
      </c>
      <c r="F7" s="8">
        <v>514311.3325183872</v>
      </c>
      <c r="G7" s="8">
        <v>593899.4609793191</v>
      </c>
      <c r="H7" s="8">
        <v>727234.8875605384</v>
      </c>
      <c r="I7" s="8">
        <v>862146.6634847843</v>
      </c>
      <c r="J7" s="8">
        <v>999283.635282467</v>
      </c>
      <c r="K7" s="8">
        <v>1106003.503534772</v>
      </c>
      <c r="L7" s="8">
        <v>1267147.573635265</v>
      </c>
    </row>
    <row r="8" spans="1:12">
      <c r="A8" s="4" t="s">
        <v>234</v>
      </c>
      <c r="B8" s="8">
        <f>B6-B7</f>
        <v>0.0</v>
      </c>
      <c r="C8" s="8">
        <f>C6-C7</f>
        <v>-47677.88</v>
      </c>
      <c r="D8" s="8">
        <f>D6-D7</f>
        <v>-181369.74</v>
      </c>
      <c r="E8" s="8">
        <f>E6-E7</f>
        <v>-132846.26</v>
      </c>
      <c r="F8" s="8">
        <f>F6-F7</f>
        <v>-114381.8</v>
      </c>
      <c r="G8" s="8">
        <f>G6-G7</f>
        <v>-63575.92</v>
      </c>
      <c r="H8" s="8">
        <f>H6-H7</f>
        <v>71716.88</v>
      </c>
      <c r="I8" s="8">
        <f>I6-I7</f>
        <v>173305.87</v>
      </c>
      <c r="J8" s="8">
        <f>J6-J7</f>
        <v>118586.14</v>
      </c>
      <c r="K8" s="8">
        <f>K6-K7</f>
        <v>420722.47</v>
      </c>
      <c r="L8" s="8">
        <f>L6-L7</f>
        <v>422223.43</v>
      </c>
    </row>
    <row r="9" spans="1:12">
      <c r="A9" s="4" t="s">
        <v>304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204490.3519010568</v>
      </c>
    </row>
    <row r="10" spans="1:12">
      <c r="A10" s="4" t="s">
        <v>305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>
      <c r="A11" s="4" t="s">
        <v>306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35000</v>
      </c>
    </row>
    <row r="12" spans="1:12">
      <c r="A12" s="4" t="s">
        <v>307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-231075.8652562586</v>
      </c>
    </row>
    <row r="13" spans="1:12">
      <c r="A13" s="7" t="s">
        <v>308</v>
      </c>
      <c r="B13" s="7">
        <f>SUM(B5:B12)</f>
        <v>300000.0</v>
      </c>
      <c r="C13" s="7">
        <f>SUM(C5:C12)</f>
        <v>-47677.88</v>
      </c>
      <c r="D13" s="7">
        <f>SUM(D5:D12)</f>
        <v>-181369.74</v>
      </c>
      <c r="E13" s="7">
        <f>SUM(E5:E12)</f>
        <v>-132846.26</v>
      </c>
      <c r="F13" s="7">
        <f>SUM(F5:F12)</f>
        <v>-114381.8</v>
      </c>
      <c r="G13" s="7">
        <f>SUM(G5:G12)</f>
        <v>-63575.92</v>
      </c>
      <c r="H13" s="7">
        <f>SUM(H5:H12)</f>
        <v>71716.88</v>
      </c>
      <c r="I13" s="7">
        <f>SUM(I5:I12)</f>
        <v>173305.87</v>
      </c>
      <c r="J13" s="7">
        <f>SUM(J5:J12)</f>
        <v>118586.14</v>
      </c>
      <c r="K13" s="7">
        <f>SUM(K5:K12)</f>
        <v>420722.47</v>
      </c>
      <c r="L13" s="7">
        <f>SUM(L5:L12)</f>
        <v>430637.92</v>
      </c>
    </row>
  </sheetData>
  <mergeCells count="1">
    <mergeCell ref="A1:L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340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299</v>
      </c>
      <c r="B4" s="3" t="s">
        <v>300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>
      <c r="A5" s="4" t="s">
        <v>301</v>
      </c>
      <c r="B5" s="8">
        <v>300000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</row>
    <row r="6" spans="1:12">
      <c r="A6" s="4" t="s">
        <v>302</v>
      </c>
      <c r="B6" s="8">
        <v>0</v>
      </c>
      <c r="C6" s="8">
        <v>363242.88</v>
      </c>
      <c r="D6" s="8">
        <v>201634.2912</v>
      </c>
      <c r="E6" s="8">
        <v>391967.1229440001</v>
      </c>
      <c r="F6" s="8">
        <v>499911.91372032</v>
      </c>
      <c r="G6" s="8">
        <v>662904.4255605121</v>
      </c>
      <c r="H6" s="8">
        <v>998689.7115513165</v>
      </c>
      <c r="I6" s="8">
        <v>1294315.664699622</v>
      </c>
      <c r="J6" s="8">
        <v>1397337.225225922</v>
      </c>
      <c r="K6" s="8">
        <v>1908407.468714884</v>
      </c>
      <c r="L6" s="8">
        <v>2111713.756516561</v>
      </c>
    </row>
    <row r="7" spans="1:12">
      <c r="A7" s="4" t="s">
        <v>303</v>
      </c>
      <c r="B7" s="8">
        <v>0</v>
      </c>
      <c r="C7" s="8">
        <v>373785.4583333334</v>
      </c>
      <c r="D7" s="8">
        <v>375434.3678666667</v>
      </c>
      <c r="E7" s="8">
        <v>490215.6927740352</v>
      </c>
      <c r="F7" s="8">
        <v>565612.8972727684</v>
      </c>
      <c r="G7" s="8">
        <v>654688.8679859624</v>
      </c>
      <c r="H7" s="8">
        <v>808480.7452341843</v>
      </c>
      <c r="I7" s="8">
        <v>990339.7928402893</v>
      </c>
      <c r="J7" s="8">
        <v>1150133.951675041</v>
      </c>
      <c r="K7" s="8">
        <v>1280878.339699442</v>
      </c>
      <c r="L7" s="8">
        <v>1476597.511403782</v>
      </c>
    </row>
    <row r="8" spans="1:12">
      <c r="A8" s="4" t="s">
        <v>234</v>
      </c>
      <c r="B8" s="8">
        <f>B6-B7</f>
        <v>0.0</v>
      </c>
      <c r="C8" s="8">
        <f>C6-C7</f>
        <v>-10542.58</v>
      </c>
      <c r="D8" s="8">
        <f>D6-D7</f>
        <v>-173800.08</v>
      </c>
      <c r="E8" s="8">
        <f>E6-E7</f>
        <v>-98248.57</v>
      </c>
      <c r="F8" s="8">
        <f>F6-F7</f>
        <v>-65700.98</v>
      </c>
      <c r="G8" s="8">
        <f>G6-G7</f>
        <v>8215.56</v>
      </c>
      <c r="H8" s="8">
        <f>H6-H7</f>
        <v>190208.97</v>
      </c>
      <c r="I8" s="8">
        <f>I6-I7</f>
        <v>303975.87</v>
      </c>
      <c r="J8" s="8">
        <f>J6-J7</f>
        <v>247203.27</v>
      </c>
      <c r="K8" s="8">
        <f>K6-K7</f>
        <v>627529.13</v>
      </c>
      <c r="L8" s="8">
        <f>L6-L7</f>
        <v>635116.25</v>
      </c>
    </row>
    <row r="9" spans="1:12">
      <c r="A9" s="4" t="s">
        <v>304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255612.939876321</v>
      </c>
    </row>
    <row r="10" spans="1:12">
      <c r="A10" s="4" t="s">
        <v>305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>
      <c r="A11" s="4" t="s">
        <v>306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35000</v>
      </c>
    </row>
    <row r="12" spans="1:12">
      <c r="A12" s="4" t="s">
        <v>307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-325005.0679084994</v>
      </c>
    </row>
    <row r="13" spans="1:12">
      <c r="A13" s="7" t="s">
        <v>308</v>
      </c>
      <c r="B13" s="7">
        <f>SUM(B5:B12)</f>
        <v>300000.0</v>
      </c>
      <c r="C13" s="7">
        <f>SUM(C5:C12)</f>
        <v>-10542.58</v>
      </c>
      <c r="D13" s="7">
        <f>SUM(D5:D12)</f>
        <v>-173800.08</v>
      </c>
      <c r="E13" s="7">
        <f>SUM(E5:E12)</f>
        <v>-98248.57</v>
      </c>
      <c r="F13" s="7">
        <f>SUM(F5:F12)</f>
        <v>-65700.98</v>
      </c>
      <c r="G13" s="7">
        <f>SUM(G5:G12)</f>
        <v>8215.56</v>
      </c>
      <c r="H13" s="7">
        <f>SUM(H5:H12)</f>
        <v>190208.97</v>
      </c>
      <c r="I13" s="7">
        <f>SUM(I5:I12)</f>
        <v>303975.87</v>
      </c>
      <c r="J13" s="7">
        <f>SUM(J5:J12)</f>
        <v>247203.27</v>
      </c>
      <c r="K13" s="7">
        <f>SUM(K5:K12)</f>
        <v>627529.13</v>
      </c>
      <c r="L13" s="7">
        <f>SUM(L5:L12)</f>
        <v>600724.12</v>
      </c>
    </row>
  </sheetData>
  <mergeCells count="1">
    <mergeCell ref="A1:L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341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299</v>
      </c>
      <c r="B4" s="3" t="s">
        <v>300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>
      <c r="A5" s="4" t="s">
        <v>301</v>
      </c>
      <c r="B5" s="8">
        <v>300000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</row>
    <row r="6" spans="1:12">
      <c r="A6" s="4" t="s">
        <v>302</v>
      </c>
      <c r="B6" s="8">
        <v>0</v>
      </c>
      <c r="C6" s="8">
        <v>363242.88</v>
      </c>
      <c r="D6" s="8">
        <v>201634.2912</v>
      </c>
      <c r="E6" s="8">
        <v>391967.1229440001</v>
      </c>
      <c r="F6" s="8">
        <v>499911.91372032</v>
      </c>
      <c r="G6" s="8">
        <v>662904.4255605121</v>
      </c>
      <c r="H6" s="8">
        <v>998689.7115513165</v>
      </c>
      <c r="I6" s="8">
        <v>1294315.664699622</v>
      </c>
      <c r="J6" s="8">
        <v>1397337.225225922</v>
      </c>
      <c r="K6" s="8">
        <v>1908407.468714884</v>
      </c>
      <c r="L6" s="8">
        <v>2111713.756516561</v>
      </c>
    </row>
    <row r="7" spans="1:12">
      <c r="A7" s="4" t="s">
        <v>303</v>
      </c>
      <c r="B7" s="8">
        <v>0</v>
      </c>
      <c r="C7" s="8">
        <v>353550.4166666667</v>
      </c>
      <c r="D7" s="8">
        <v>355049.4253333333</v>
      </c>
      <c r="E7" s="8">
        <v>458458.6847465794</v>
      </c>
      <c r="F7" s="8">
        <v>527001.5979272461</v>
      </c>
      <c r="G7" s="8">
        <v>607979.7531210589</v>
      </c>
      <c r="H7" s="8">
        <v>761629.1705579245</v>
      </c>
      <c r="I7" s="8">
        <v>938045.741113228</v>
      </c>
      <c r="J7" s="8">
        <v>1091714.22766505</v>
      </c>
      <c r="K7" s="8">
        <v>1200814.125188715</v>
      </c>
      <c r="L7" s="8">
        <v>1395327.923175114</v>
      </c>
    </row>
    <row r="8" spans="1:12">
      <c r="A8" s="4" t="s">
        <v>234</v>
      </c>
      <c r="B8" s="8">
        <f>B6-B7</f>
        <v>0.0</v>
      </c>
      <c r="C8" s="8">
        <f>C6-C7</f>
        <v>9692.46</v>
      </c>
      <c r="D8" s="8">
        <f>D6-D7</f>
        <v>-153415.13</v>
      </c>
      <c r="E8" s="8">
        <f>E6-E7</f>
        <v>-66491.56</v>
      </c>
      <c r="F8" s="8">
        <f>F6-F7</f>
        <v>-27089.68</v>
      </c>
      <c r="G8" s="8">
        <f>G6-G7</f>
        <v>54924.67</v>
      </c>
      <c r="H8" s="8">
        <f>H6-H7</f>
        <v>237060.54</v>
      </c>
      <c r="I8" s="8">
        <f>I6-I7</f>
        <v>356269.92</v>
      </c>
      <c r="J8" s="8">
        <f>J6-J7</f>
        <v>305623.0</v>
      </c>
      <c r="K8" s="8">
        <f>K6-K7</f>
        <v>707593.34</v>
      </c>
      <c r="L8" s="8">
        <f>L6-L7</f>
        <v>716385.83</v>
      </c>
    </row>
    <row r="9" spans="1:12">
      <c r="A9" s="4" t="s">
        <v>304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255612.939876321</v>
      </c>
    </row>
    <row r="10" spans="1:12">
      <c r="A10" s="4" t="s">
        <v>305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>
      <c r="A11" s="4" t="s">
        <v>306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35000</v>
      </c>
    </row>
    <row r="12" spans="1:12">
      <c r="A12" s="4" t="s">
        <v>307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-352536.4990558439</v>
      </c>
    </row>
    <row r="13" spans="1:12">
      <c r="A13" s="7" t="s">
        <v>308</v>
      </c>
      <c r="B13" s="7">
        <f>SUM(B5:B12)</f>
        <v>300000.0</v>
      </c>
      <c r="C13" s="7">
        <f>SUM(C5:C12)</f>
        <v>9692.46</v>
      </c>
      <c r="D13" s="7">
        <f>SUM(D5:D12)</f>
        <v>-153415.13</v>
      </c>
      <c r="E13" s="7">
        <f>SUM(E5:E12)</f>
        <v>-66491.56</v>
      </c>
      <c r="F13" s="7">
        <f>SUM(F5:F12)</f>
        <v>-27089.68</v>
      </c>
      <c r="G13" s="7">
        <f>SUM(G5:G12)</f>
        <v>54924.67</v>
      </c>
      <c r="H13" s="7">
        <f>SUM(H5:H12)</f>
        <v>237060.54</v>
      </c>
      <c r="I13" s="7">
        <f>SUM(I5:I12)</f>
        <v>356269.92</v>
      </c>
      <c r="J13" s="7">
        <f>SUM(J5:J12)</f>
        <v>305623.0</v>
      </c>
      <c r="K13" s="7">
        <f>SUM(K5:K12)</f>
        <v>707593.34</v>
      </c>
      <c r="L13" s="7">
        <f>SUM(L5:L12)</f>
        <v>654462.27</v>
      </c>
    </row>
  </sheetData>
  <mergeCells count="1">
    <mergeCell ref="A1:L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1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299</v>
      </c>
      <c r="B4" s="3" t="s">
        <v>300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>
      <c r="A5" s="4" t="s">
        <v>301</v>
      </c>
      <c r="B5" s="8">
        <v>300000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</row>
    <row r="6" spans="1:12">
      <c r="A6" s="4" t="s">
        <v>302</v>
      </c>
      <c r="B6" s="8">
        <v>0</v>
      </c>
      <c r="C6" s="8">
        <v>323616.384</v>
      </c>
      <c r="D6" s="8">
        <v>175134.81216</v>
      </c>
      <c r="E6" s="8">
        <v>347321.5214592</v>
      </c>
      <c r="F6" s="8">
        <v>440774.092709376</v>
      </c>
      <c r="G6" s="8">
        <v>585017.8661721216</v>
      </c>
      <c r="H6" s="8">
        <v>882283.425874303</v>
      </c>
      <c r="I6" s="8">
        <v>1141754.18446422</v>
      </c>
      <c r="J6" s="8">
        <v>1230404.757105205</v>
      </c>
      <c r="K6" s="8">
        <v>1684871.884365378</v>
      </c>
      <c r="L6" s="8">
        <v>1859779.631797463</v>
      </c>
    </row>
    <row r="7" spans="1:12">
      <c r="A7" s="4" t="s">
        <v>303</v>
      </c>
      <c r="B7" s="8">
        <v>0</v>
      </c>
      <c r="C7" s="8">
        <v>342750.4166666667</v>
      </c>
      <c r="D7" s="8">
        <v>346766.6878666666</v>
      </c>
      <c r="E7" s="8">
        <v>450329.1591821684</v>
      </c>
      <c r="F7" s="8">
        <v>518872.0723628352</v>
      </c>
      <c r="G7" s="8">
        <v>599850.2275566478</v>
      </c>
      <c r="H7" s="8">
        <v>756292.5810695336</v>
      </c>
      <c r="I7" s="8">
        <v>932334.0487981574</v>
      </c>
      <c r="J7" s="8">
        <v>1085452.837171403</v>
      </c>
      <c r="K7" s="8">
        <v>1201900.841123322</v>
      </c>
      <c r="L7" s="8">
        <v>1395327.923175114</v>
      </c>
    </row>
    <row r="8" spans="1:12">
      <c r="A8" s="4" t="s">
        <v>234</v>
      </c>
      <c r="B8" s="8">
        <f>B6-B7</f>
        <v>0.0</v>
      </c>
      <c r="C8" s="8">
        <f>C6-C7</f>
        <v>-19134.03</v>
      </c>
      <c r="D8" s="8">
        <f>D6-D7</f>
        <v>-171631.88</v>
      </c>
      <c r="E8" s="8">
        <f>E6-E7</f>
        <v>-103007.64</v>
      </c>
      <c r="F8" s="8">
        <f>F6-F7</f>
        <v>-78097.98</v>
      </c>
      <c r="G8" s="8">
        <f>G6-G7</f>
        <v>-14832.36</v>
      </c>
      <c r="H8" s="8">
        <f>H6-H7</f>
        <v>125990.84</v>
      </c>
      <c r="I8" s="8">
        <f>I6-I7</f>
        <v>209420.14</v>
      </c>
      <c r="J8" s="8">
        <f>J6-J7</f>
        <v>144951.92</v>
      </c>
      <c r="K8" s="8">
        <f>K6-K7</f>
        <v>482971.04</v>
      </c>
      <c r="L8" s="8">
        <f>L6-L7</f>
        <v>464451.71</v>
      </c>
    </row>
    <row r="9" spans="1:12">
      <c r="A9" s="4" t="s">
        <v>304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255612.939876321</v>
      </c>
    </row>
    <row r="10" spans="1:12">
      <c r="A10" s="4" t="s">
        <v>305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>
      <c r="A11" s="4" t="s">
        <v>306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35000</v>
      </c>
    </row>
    <row r="12" spans="1:12">
      <c r="A12" s="4" t="s">
        <v>307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-352536.4990558439</v>
      </c>
    </row>
    <row r="13" spans="1:12">
      <c r="A13" s="7" t="s">
        <v>308</v>
      </c>
      <c r="B13" s="7">
        <f>SUM(B5:B12)</f>
        <v>300000.0</v>
      </c>
      <c r="C13" s="7">
        <f>SUM(C5:C12)</f>
        <v>-19134.03</v>
      </c>
      <c r="D13" s="7">
        <f>SUM(D5:D12)</f>
        <v>-171631.88</v>
      </c>
      <c r="E13" s="7">
        <f>SUM(E5:E12)</f>
        <v>-103007.64</v>
      </c>
      <c r="F13" s="7">
        <f>SUM(F5:F12)</f>
        <v>-78097.98</v>
      </c>
      <c r="G13" s="7">
        <f>SUM(G5:G12)</f>
        <v>-14832.36</v>
      </c>
      <c r="H13" s="7">
        <f>SUM(H5:H12)</f>
        <v>125990.84</v>
      </c>
      <c r="I13" s="7">
        <f>SUM(I5:I12)</f>
        <v>209420.14</v>
      </c>
      <c r="J13" s="7">
        <f>SUM(J5:J12)</f>
        <v>144951.92</v>
      </c>
      <c r="K13" s="7">
        <f>SUM(K5:K12)</f>
        <v>482971.04</v>
      </c>
      <c r="L13" s="7">
        <f>SUM(L5:L12)</f>
        <v>402528.15</v>
      </c>
    </row>
  </sheetData>
  <mergeCells count="1">
    <mergeCell ref="A1:L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399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96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2">
      <c r="A4" s="3" t="s">
        <v>97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103</v>
      </c>
      <c r="H4" s="3" t="s">
        <v>104</v>
      </c>
      <c r="I4" s="3" t="s">
        <v>105</v>
      </c>
      <c r="J4" s="3" t="s">
        <v>106</v>
      </c>
      <c r="K4" s="3" t="s">
        <v>107</v>
      </c>
    </row>
    <row r="5" spans="1:12">
      <c r="A5" s="2" t="s">
        <v>108</v>
      </c>
    </row>
    <row r="6" spans="1:12">
      <c r="A6" s="4" t="s">
        <v>109</v>
      </c>
      <c r="B6" s="8">
        <v>2070</v>
      </c>
      <c r="C6" s="8">
        <f>B6*12</f>
        <v>24840.0</v>
      </c>
      <c r="D6" s="8">
        <f>B6*2</f>
        <v>4140.0</v>
      </c>
      <c r="E6" s="8">
        <f>C6*9%</f>
        <v>2235.6</v>
      </c>
      <c r="F6" s="8">
        <f>(C6+D6)*8.33%</f>
        <v>2414.03</v>
      </c>
      <c r="G6" s="8">
        <f>B6*0.5</f>
        <v>1035.0</v>
      </c>
      <c r="H6" s="8">
        <f>0</f>
        <v>0.0</v>
      </c>
      <c r="I6" s="8">
        <f>B6*14/12</f>
        <v>2415.0</v>
      </c>
      <c r="J6" s="8">
        <f>SUM(D6:I6)</f>
        <v>12239.63</v>
      </c>
      <c r="K6" s="8">
        <f>C6+J6</f>
        <v>37079.63</v>
      </c>
    </row>
    <row r="7" spans="1:12">
      <c r="A7" s="4" t="s">
        <v>110</v>
      </c>
      <c r="B7" s="8">
        <v>1035</v>
      </c>
      <c r="C7" s="8">
        <f>B7*12</f>
        <v>12420.0</v>
      </c>
      <c r="D7" s="8">
        <f>B7*2</f>
        <v>2070.0</v>
      </c>
      <c r="E7" s="8">
        <f>C7*9%</f>
        <v>1117.8</v>
      </c>
      <c r="F7" s="8">
        <f>(C7+D7)*8.33%</f>
        <v>1207.02</v>
      </c>
      <c r="G7" s="8">
        <f>B7*0.5</f>
        <v>517.5</v>
      </c>
      <c r="H7" s="8">
        <f>0</f>
        <v>0.0</v>
      </c>
      <c r="I7" s="8">
        <f>B7*14/12</f>
        <v>1207.5</v>
      </c>
      <c r="J7" s="8">
        <f>SUM(D7:I7)</f>
        <v>6119.82</v>
      </c>
      <c r="K7" s="8">
        <f>C7+J7</f>
        <v>18539.82</v>
      </c>
    </row>
    <row r="8" spans="1:12">
      <c r="A8" s="7" t="s">
        <v>111</v>
      </c>
      <c r="K8" s="7">
        <f>SUM(K6:K7)</f>
        <v>55619.45</v>
      </c>
    </row>
    <row r="9" spans="1:12">
      <c r="A9" s="2" t="s">
        <v>112</v>
      </c>
    </row>
    <row r="10" spans="1:12">
      <c r="A10" s="4" t="s">
        <v>113</v>
      </c>
      <c r="B10" s="8">
        <v>2500</v>
      </c>
      <c r="C10" s="8">
        <f>B10*12</f>
        <v>30000.0</v>
      </c>
      <c r="D10" s="8">
        <f>B10*2</f>
        <v>5000.0</v>
      </c>
      <c r="E10" s="8">
        <f>C10*9%</f>
        <v>2700.0</v>
      </c>
      <c r="F10" s="8">
        <f>(C10+D10)*8.33%</f>
        <v>2915.5</v>
      </c>
      <c r="G10" s="8">
        <f>B10*0.5</f>
        <v>1250.0</v>
      </c>
      <c r="H10" s="8">
        <f>0</f>
        <v>0.0</v>
      </c>
      <c r="I10" s="8">
        <f>B10*14/12</f>
        <v>2916.67</v>
      </c>
      <c r="J10" s="8">
        <f>SUM(D10:I10)</f>
        <v>14782.17</v>
      </c>
      <c r="K10" s="8">
        <f>C10+J10</f>
        <v>44782.17</v>
      </c>
    </row>
    <row r="11" spans="1:12">
      <c r="A11" s="4" t="s">
        <v>114</v>
      </c>
      <c r="B11" s="8">
        <v>1300</v>
      </c>
      <c r="C11" s="8">
        <f>B11*12</f>
        <v>15600.0</v>
      </c>
      <c r="D11" s="8">
        <f>B11*2</f>
        <v>2600.0</v>
      </c>
      <c r="E11" s="8">
        <f>C11*9%</f>
        <v>1404.0</v>
      </c>
      <c r="F11" s="8">
        <f>(C11+D11)*8.33%</f>
        <v>1516.06</v>
      </c>
      <c r="G11" s="8">
        <f>B11*0.5</f>
        <v>650.0</v>
      </c>
      <c r="H11" s="8">
        <f>0</f>
        <v>0.0</v>
      </c>
      <c r="I11" s="8">
        <f>B11*14/12</f>
        <v>1516.67</v>
      </c>
      <c r="J11" s="8">
        <f>SUM(D11:I11)</f>
        <v>7686.73</v>
      </c>
      <c r="K11" s="8">
        <f>C11+J11</f>
        <v>23286.73</v>
      </c>
    </row>
    <row r="12" spans="1:12">
      <c r="A12" s="7" t="s">
        <v>115</v>
      </c>
      <c r="K12" s="7">
        <f>SUM(K10:K11)</f>
        <v>68068.89</v>
      </c>
    </row>
    <row r="13" spans="1:12">
      <c r="A13" s="2" t="s">
        <v>116</v>
      </c>
    </row>
    <row r="14" spans="1:12">
      <c r="A14" s="4" t="s">
        <v>117</v>
      </c>
      <c r="B14" s="8">
        <v>1700</v>
      </c>
      <c r="C14" s="8">
        <f>B14*12</f>
        <v>20400.0</v>
      </c>
      <c r="D14" s="8">
        <f>B14*2</f>
        <v>3400.0</v>
      </c>
      <c r="E14" s="8">
        <f>C14*9%</f>
        <v>1836.0</v>
      </c>
      <c r="F14" s="8">
        <f>(C14+D14)*8.33%</f>
        <v>1982.54</v>
      </c>
      <c r="G14" s="8">
        <f>B14*0.5</f>
        <v>850.0</v>
      </c>
      <c r="H14" s="8">
        <f>0</f>
        <v>0.0</v>
      </c>
      <c r="I14" s="8">
        <f>B14*14/12</f>
        <v>1983.33</v>
      </c>
      <c r="J14" s="8">
        <f>SUM(D14:I14)</f>
        <v>10051.87</v>
      </c>
      <c r="K14" s="8">
        <f>C14+J14</f>
        <v>30451.87</v>
      </c>
    </row>
    <row r="15" spans="1:12">
      <c r="A15" s="7" t="s">
        <v>118</v>
      </c>
      <c r="K15" s="7">
        <f>SUM(K14:K14)</f>
        <v>30451.87</v>
      </c>
    </row>
    <row r="18" spans="1:11">
      <c r="A18" s="2" t="s">
        <v>119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3" t="s">
        <v>97</v>
      </c>
      <c r="B19" s="3" t="s">
        <v>98</v>
      </c>
      <c r="C19" s="3" t="s">
        <v>99</v>
      </c>
      <c r="D19" s="3" t="s">
        <v>100</v>
      </c>
      <c r="E19" s="3" t="s">
        <v>101</v>
      </c>
      <c r="F19" s="3" t="s">
        <v>102</v>
      </c>
      <c r="G19" s="3" t="s">
        <v>103</v>
      </c>
      <c r="H19" s="3" t="s">
        <v>104</v>
      </c>
      <c r="I19" s="3" t="s">
        <v>105</v>
      </c>
      <c r="J19" s="3" t="s">
        <v>106</v>
      </c>
      <c r="K19" s="3" t="s">
        <v>107</v>
      </c>
    </row>
    <row r="20" spans="1:11">
      <c r="A20" s="2" t="s">
        <v>108</v>
      </c>
    </row>
    <row r="21" spans="1:11">
      <c r="A21" s="4" t="s">
        <v>109</v>
      </c>
      <c r="B21" s="8">
        <v>2152.8</v>
      </c>
      <c r="C21" s="8">
        <f>B21*12</f>
        <v>25833.6</v>
      </c>
      <c r="D21" s="8">
        <f>B21*2</f>
        <v>4305.6</v>
      </c>
      <c r="E21" s="8">
        <f>C21*9%</f>
        <v>2325.02</v>
      </c>
      <c r="F21" s="8">
        <f>(C21+D21)*8.33%</f>
        <v>2510.6</v>
      </c>
      <c r="G21" s="8">
        <f>B21*0.5</f>
        <v>1076.4</v>
      </c>
      <c r="H21" s="8">
        <f>0</f>
        <v>0.0</v>
      </c>
      <c r="I21" s="8">
        <f>B21*14/12</f>
        <v>2511.6</v>
      </c>
      <c r="J21" s="8">
        <f>SUM(D21:I21)</f>
        <v>12729.22</v>
      </c>
      <c r="K21" s="8">
        <f>C21+J21</f>
        <v>38562.82</v>
      </c>
    </row>
    <row r="22" spans="1:11">
      <c r="A22" s="4" t="s">
        <v>110</v>
      </c>
      <c r="B22" s="8">
        <v>1076.4</v>
      </c>
      <c r="C22" s="8">
        <f>B22*12</f>
        <v>12916.8</v>
      </c>
      <c r="D22" s="8">
        <f>B22*2</f>
        <v>2152.8</v>
      </c>
      <c r="E22" s="8">
        <f>C22*9%</f>
        <v>1162.51</v>
      </c>
      <c r="F22" s="8">
        <f>(C22+D22)*8.33%</f>
        <v>1255.3</v>
      </c>
      <c r="G22" s="8">
        <f>B22*0.5</f>
        <v>538.2</v>
      </c>
      <c r="H22" s="8">
        <f>0</f>
        <v>0.0</v>
      </c>
      <c r="I22" s="8">
        <f>B22*14/12</f>
        <v>1255.8</v>
      </c>
      <c r="J22" s="8">
        <f>SUM(D22:I22)</f>
        <v>6364.61</v>
      </c>
      <c r="K22" s="8">
        <f>C22+J22</f>
        <v>19281.41</v>
      </c>
    </row>
    <row r="23" spans="1:11">
      <c r="A23" s="7" t="s">
        <v>111</v>
      </c>
      <c r="K23" s="7">
        <f>SUM(K21:K22)</f>
        <v>57844.23</v>
      </c>
    </row>
    <row r="24" spans="1:11">
      <c r="A24" s="2" t="s">
        <v>112</v>
      </c>
    </row>
    <row r="25" spans="1:11">
      <c r="A25" s="4" t="s">
        <v>113</v>
      </c>
      <c r="B25" s="8">
        <v>2600</v>
      </c>
      <c r="C25" s="8">
        <f>B25*12</f>
        <v>31200.0</v>
      </c>
      <c r="D25" s="8">
        <f>B25*2</f>
        <v>5200.0</v>
      </c>
      <c r="E25" s="8">
        <f>C25*9%</f>
        <v>2808.0</v>
      </c>
      <c r="F25" s="8">
        <f>(C25+D25)*8.33%</f>
        <v>3032.12</v>
      </c>
      <c r="G25" s="8">
        <f>B25*0.5</f>
        <v>1300.0</v>
      </c>
      <c r="H25" s="8">
        <f>0</f>
        <v>0.0</v>
      </c>
      <c r="I25" s="8">
        <f>B25*14/12</f>
        <v>3033.33</v>
      </c>
      <c r="J25" s="8">
        <f>SUM(D25:I25)</f>
        <v>15373.45</v>
      </c>
      <c r="K25" s="8">
        <f>C25+J25</f>
        <v>46573.45</v>
      </c>
    </row>
    <row r="26" spans="1:11">
      <c r="A26" s="4" t="s">
        <v>114</v>
      </c>
      <c r="B26" s="8">
        <v>1352</v>
      </c>
      <c r="C26" s="8">
        <f>B26*12</f>
        <v>16224.0</v>
      </c>
      <c r="D26" s="8">
        <f>B26*2</f>
        <v>2704.0</v>
      </c>
      <c r="E26" s="8">
        <f>C26*9%</f>
        <v>1460.16</v>
      </c>
      <c r="F26" s="8">
        <f>(C26+D26)*8.33%</f>
        <v>1576.7</v>
      </c>
      <c r="G26" s="8">
        <f>B26*0.5</f>
        <v>676.0</v>
      </c>
      <c r="H26" s="8">
        <f>0</f>
        <v>0.0</v>
      </c>
      <c r="I26" s="8">
        <f>B26*14/12</f>
        <v>1577.33</v>
      </c>
      <c r="J26" s="8">
        <f>SUM(D26:I26)</f>
        <v>7994.2</v>
      </c>
      <c r="K26" s="8">
        <f>C26+J26</f>
        <v>24218.2</v>
      </c>
    </row>
    <row r="27" spans="1:11">
      <c r="A27" s="4" t="s">
        <v>120</v>
      </c>
      <c r="B27" s="8">
        <v>1800</v>
      </c>
      <c r="C27" s="8">
        <f>B27*12</f>
        <v>21600.0</v>
      </c>
      <c r="D27" s="8">
        <f>B27*2</f>
        <v>3600.0</v>
      </c>
      <c r="E27" s="8">
        <f>C27*9%</f>
        <v>1944.0</v>
      </c>
      <c r="F27" s="8">
        <f>(C27+D27)*8.33%</f>
        <v>2099.16</v>
      </c>
      <c r="G27" s="8">
        <f>B27*0.5</f>
        <v>900.0</v>
      </c>
      <c r="H27" s="8">
        <f>0</f>
        <v>0.0</v>
      </c>
      <c r="I27" s="8">
        <f>B27*14/12</f>
        <v>2100.0</v>
      </c>
      <c r="J27" s="8">
        <f>SUM(D27:I27)</f>
        <v>10643.16</v>
      </c>
      <c r="K27" s="8">
        <f>C27+J27</f>
        <v>32243.16</v>
      </c>
    </row>
    <row r="28" spans="1:11">
      <c r="A28" s="7" t="s">
        <v>115</v>
      </c>
      <c r="K28" s="7">
        <f>SUM(K25:K27)</f>
        <v>103034.81</v>
      </c>
    </row>
    <row r="29" spans="1:11">
      <c r="A29" s="2" t="s">
        <v>116</v>
      </c>
    </row>
    <row r="30" spans="1:11">
      <c r="A30" s="4" t="s">
        <v>117</v>
      </c>
      <c r="B30" s="8">
        <v>1768</v>
      </c>
      <c r="C30" s="8">
        <f>B30*12</f>
        <v>21216.0</v>
      </c>
      <c r="D30" s="8">
        <f>B30*2</f>
        <v>3536.0</v>
      </c>
      <c r="E30" s="8">
        <f>C30*9%</f>
        <v>1909.44</v>
      </c>
      <c r="F30" s="8">
        <f>(C30+D30)*8.33%</f>
        <v>2061.84</v>
      </c>
      <c r="G30" s="8">
        <f>B30*0.5</f>
        <v>884.0</v>
      </c>
      <c r="H30" s="8">
        <f>0</f>
        <v>0.0</v>
      </c>
      <c r="I30" s="8">
        <f>B30*14/12</f>
        <v>2062.67</v>
      </c>
      <c r="J30" s="8">
        <f>SUM(D30:I30)</f>
        <v>10453.95</v>
      </c>
      <c r="K30" s="8">
        <f>C30+J30</f>
        <v>31669.95</v>
      </c>
    </row>
    <row r="31" spans="1:11">
      <c r="A31" s="7" t="s">
        <v>118</v>
      </c>
      <c r="K31" s="7">
        <f>SUM(K30:K30)</f>
        <v>31669.95</v>
      </c>
    </row>
    <row r="34" spans="1:11">
      <c r="A34" s="2" t="s">
        <v>121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3" t="s">
        <v>97</v>
      </c>
      <c r="B35" s="3" t="s">
        <v>98</v>
      </c>
      <c r="C35" s="3" t="s">
        <v>99</v>
      </c>
      <c r="D35" s="3" t="s">
        <v>100</v>
      </c>
      <c r="E35" s="3" t="s">
        <v>101</v>
      </c>
      <c r="F35" s="3" t="s">
        <v>102</v>
      </c>
      <c r="G35" s="3" t="s">
        <v>103</v>
      </c>
      <c r="H35" s="3" t="s">
        <v>104</v>
      </c>
      <c r="I35" s="3" t="s">
        <v>105</v>
      </c>
      <c r="J35" s="3" t="s">
        <v>106</v>
      </c>
      <c r="K35" s="3" t="s">
        <v>107</v>
      </c>
    </row>
    <row r="36" spans="1:11">
      <c r="A36" s="2" t="s">
        <v>108</v>
      </c>
    </row>
    <row r="37" spans="1:11">
      <c r="A37" s="4" t="s">
        <v>109</v>
      </c>
      <c r="B37" s="8">
        <v>2238.912</v>
      </c>
      <c r="C37" s="8">
        <f>B37*12</f>
        <v>26866.94</v>
      </c>
      <c r="D37" s="8">
        <f>B37*2</f>
        <v>4477.82</v>
      </c>
      <c r="E37" s="8">
        <f>C37*9%</f>
        <v>2418.02</v>
      </c>
      <c r="F37" s="8">
        <f>(C37+D37)*8.33%</f>
        <v>2611.02</v>
      </c>
      <c r="G37" s="8">
        <f>B37*0.5</f>
        <v>1119.46</v>
      </c>
      <c r="H37" s="8">
        <f>0</f>
        <v>0.0</v>
      </c>
      <c r="I37" s="8">
        <f>B37*14/12</f>
        <v>2612.06</v>
      </c>
      <c r="J37" s="8">
        <f>SUM(D37:I37)</f>
        <v>13238.39</v>
      </c>
      <c r="K37" s="8">
        <f>C37+J37</f>
        <v>40105.33</v>
      </c>
    </row>
    <row r="38" spans="1:11">
      <c r="A38" s="4" t="s">
        <v>110</v>
      </c>
      <c r="B38" s="8">
        <v>1119.456</v>
      </c>
      <c r="C38" s="8">
        <f>B38*12</f>
        <v>13433.47</v>
      </c>
      <c r="D38" s="8">
        <f>B38*2</f>
        <v>2238.91</v>
      </c>
      <c r="E38" s="8">
        <f>C38*9%</f>
        <v>1209.01</v>
      </c>
      <c r="F38" s="8">
        <f>(C38+D38)*8.33%</f>
        <v>1305.51</v>
      </c>
      <c r="G38" s="8">
        <f>B38*0.5</f>
        <v>559.73</v>
      </c>
      <c r="H38" s="8">
        <f>0</f>
        <v>0.0</v>
      </c>
      <c r="I38" s="8">
        <f>B38*14/12</f>
        <v>1306.03</v>
      </c>
      <c r="J38" s="8">
        <f>SUM(D38:I38)</f>
        <v>6619.19</v>
      </c>
      <c r="K38" s="8">
        <f>C38+J38</f>
        <v>20052.67</v>
      </c>
    </row>
    <row r="39" spans="1:11">
      <c r="A39" s="7" t="s">
        <v>111</v>
      </c>
      <c r="K39" s="7">
        <f>SUM(K37:K38)</f>
        <v>60158.0</v>
      </c>
    </row>
    <row r="40" spans="1:11">
      <c r="A40" s="2" t="s">
        <v>112</v>
      </c>
    </row>
    <row r="41" spans="1:11">
      <c r="A41" s="4" t="s">
        <v>113</v>
      </c>
      <c r="B41" s="8">
        <v>2704</v>
      </c>
      <c r="C41" s="8">
        <f>B41*12</f>
        <v>32448.0</v>
      </c>
      <c r="D41" s="8">
        <f>B41*2</f>
        <v>5408.0</v>
      </c>
      <c r="E41" s="8">
        <f>C41*9%</f>
        <v>2920.32</v>
      </c>
      <c r="F41" s="8">
        <f>(C41+D41)*8.33%</f>
        <v>3153.4</v>
      </c>
      <c r="G41" s="8">
        <f>B41*0.5</f>
        <v>1352.0</v>
      </c>
      <c r="H41" s="8">
        <f>0</f>
        <v>0.0</v>
      </c>
      <c r="I41" s="8">
        <f>B41*14/12</f>
        <v>3154.67</v>
      </c>
      <c r="J41" s="8">
        <f>SUM(D41:I41)</f>
        <v>15988.39</v>
      </c>
      <c r="K41" s="8">
        <f>C41+J41</f>
        <v>48436.39</v>
      </c>
    </row>
    <row r="42" spans="1:11">
      <c r="A42" s="4" t="s">
        <v>114</v>
      </c>
      <c r="B42" s="8">
        <v>1406.08</v>
      </c>
      <c r="C42" s="8">
        <f>B42*12</f>
        <v>16872.96</v>
      </c>
      <c r="D42" s="8">
        <f>B42*2</f>
        <v>2812.16</v>
      </c>
      <c r="E42" s="8">
        <f>C42*9%</f>
        <v>1518.57</v>
      </c>
      <c r="F42" s="8">
        <f>(C42+D42)*8.33%</f>
        <v>1639.77</v>
      </c>
      <c r="G42" s="8">
        <f>B42*0.5</f>
        <v>703.04</v>
      </c>
      <c r="H42" s="8">
        <f>0</f>
        <v>0.0</v>
      </c>
      <c r="I42" s="8">
        <f>B42*14/12</f>
        <v>1640.43</v>
      </c>
      <c r="J42" s="8">
        <f>SUM(D42:I42)</f>
        <v>8313.96</v>
      </c>
      <c r="K42" s="8">
        <f>C42+J42</f>
        <v>25186.92</v>
      </c>
    </row>
    <row r="43" spans="1:11">
      <c r="A43" s="4" t="s">
        <v>120</v>
      </c>
      <c r="B43" s="8">
        <v>1872</v>
      </c>
      <c r="C43" s="8">
        <f>B43*12</f>
        <v>22464.0</v>
      </c>
      <c r="D43" s="8">
        <f>B43*2</f>
        <v>3744.0</v>
      </c>
      <c r="E43" s="8">
        <f>C43*9%</f>
        <v>2021.76</v>
      </c>
      <c r="F43" s="8">
        <f>(C43+D43)*8.33%</f>
        <v>2183.13</v>
      </c>
      <c r="G43" s="8">
        <f>B43*0.5</f>
        <v>936.0</v>
      </c>
      <c r="H43" s="8">
        <f>0</f>
        <v>0.0</v>
      </c>
      <c r="I43" s="8">
        <f>B43*14/12</f>
        <v>2184.0</v>
      </c>
      <c r="J43" s="8">
        <f>SUM(D43:I43)</f>
        <v>11068.89</v>
      </c>
      <c r="K43" s="8">
        <f>C43+J43</f>
        <v>33532.89</v>
      </c>
    </row>
    <row r="44" spans="1:11">
      <c r="A44" s="4" t="s">
        <v>122</v>
      </c>
      <c r="B44" s="8">
        <v>1200</v>
      </c>
      <c r="C44" s="8">
        <f>B44*12</f>
        <v>14400.0</v>
      </c>
      <c r="D44" s="8">
        <f>B44*2</f>
        <v>2400.0</v>
      </c>
      <c r="E44" s="8">
        <f>C44*9%</f>
        <v>1296.0</v>
      </c>
      <c r="F44" s="8">
        <f>(C44+D44)*8.33%</f>
        <v>1399.44</v>
      </c>
      <c r="G44" s="8">
        <f>B44*0.5</f>
        <v>600.0</v>
      </c>
      <c r="H44" s="8">
        <f>0</f>
        <v>0.0</v>
      </c>
      <c r="I44" s="8">
        <f>B44*14/12</f>
        <v>1400.0</v>
      </c>
      <c r="J44" s="8">
        <f>SUM(D44:I44)</f>
        <v>7095.44</v>
      </c>
      <c r="K44" s="8">
        <f>C44+J44</f>
        <v>21495.44</v>
      </c>
    </row>
    <row r="45" spans="1:11">
      <c r="A45" s="7" t="s">
        <v>115</v>
      </c>
      <c r="K45" s="7">
        <f>SUM(K41:K44)</f>
        <v>128651.64</v>
      </c>
    </row>
    <row r="46" spans="1:11">
      <c r="A46" s="2" t="s">
        <v>116</v>
      </c>
    </row>
    <row r="47" spans="1:11">
      <c r="A47" s="4" t="s">
        <v>117</v>
      </c>
      <c r="B47" s="8">
        <v>1838.72</v>
      </c>
      <c r="C47" s="8">
        <f>B47*12</f>
        <v>22064.64</v>
      </c>
      <c r="D47" s="8">
        <f>B47*2</f>
        <v>3677.44</v>
      </c>
      <c r="E47" s="8">
        <f>C47*9%</f>
        <v>1985.82</v>
      </c>
      <c r="F47" s="8">
        <f>(C47+D47)*8.33%</f>
        <v>2144.32</v>
      </c>
      <c r="G47" s="8">
        <f>B47*0.5</f>
        <v>919.36</v>
      </c>
      <c r="H47" s="8">
        <f>0</f>
        <v>0.0</v>
      </c>
      <c r="I47" s="8">
        <f>B47*14/12</f>
        <v>2145.17</v>
      </c>
      <c r="J47" s="8">
        <f>SUM(D47:I47)</f>
        <v>10872.11</v>
      </c>
      <c r="K47" s="8">
        <f>C47+J47</f>
        <v>32936.75</v>
      </c>
    </row>
    <row r="48" spans="1:11">
      <c r="A48" s="7" t="s">
        <v>118</v>
      </c>
      <c r="K48" s="7">
        <f>SUM(K47:K47)</f>
        <v>32936.75</v>
      </c>
    </row>
    <row r="51" spans="1:11">
      <c r="A51" s="2" t="s">
        <v>123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3" t="s">
        <v>97</v>
      </c>
      <c r="B52" s="3" t="s">
        <v>98</v>
      </c>
      <c r="C52" s="3" t="s">
        <v>99</v>
      </c>
      <c r="D52" s="3" t="s">
        <v>100</v>
      </c>
      <c r="E52" s="3" t="s">
        <v>101</v>
      </c>
      <c r="F52" s="3" t="s">
        <v>102</v>
      </c>
      <c r="G52" s="3" t="s">
        <v>103</v>
      </c>
      <c r="H52" s="3" t="s">
        <v>104</v>
      </c>
      <c r="I52" s="3" t="s">
        <v>105</v>
      </c>
      <c r="J52" s="3" t="s">
        <v>106</v>
      </c>
      <c r="K52" s="3" t="s">
        <v>107</v>
      </c>
    </row>
    <row r="53" spans="1:11">
      <c r="A53" s="2" t="s">
        <v>108</v>
      </c>
    </row>
    <row r="54" spans="1:11">
      <c r="A54" s="4" t="s">
        <v>109</v>
      </c>
      <c r="B54" s="8">
        <v>2328.46848</v>
      </c>
      <c r="C54" s="8">
        <f>B54*12</f>
        <v>27941.62</v>
      </c>
      <c r="D54" s="8">
        <f>B54*2</f>
        <v>4656.94</v>
      </c>
      <c r="E54" s="8">
        <f>C54*9%</f>
        <v>2514.75</v>
      </c>
      <c r="F54" s="8">
        <f>(C54+D54)*8.33%</f>
        <v>2715.46</v>
      </c>
      <c r="G54" s="8">
        <f>B54*0.5</f>
        <v>1164.23</v>
      </c>
      <c r="H54" s="8">
        <f>0</f>
        <v>0.0</v>
      </c>
      <c r="I54" s="8">
        <f>B54*14/12</f>
        <v>2716.55</v>
      </c>
      <c r="J54" s="8">
        <f>SUM(D54:I54)</f>
        <v>13767.92</v>
      </c>
      <c r="K54" s="8">
        <f>C54+J54</f>
        <v>41709.55</v>
      </c>
    </row>
    <row r="55" spans="1:11">
      <c r="A55" s="4" t="s">
        <v>110</v>
      </c>
      <c r="B55" s="8">
        <v>1164.23424</v>
      </c>
      <c r="C55" s="8">
        <f>B55*12</f>
        <v>13970.81</v>
      </c>
      <c r="D55" s="8">
        <f>B55*2</f>
        <v>2328.47</v>
      </c>
      <c r="E55" s="8">
        <f>C55*9%</f>
        <v>1257.37</v>
      </c>
      <c r="F55" s="8">
        <f>(C55+D55)*8.33%</f>
        <v>1357.73</v>
      </c>
      <c r="G55" s="8">
        <f>B55*0.5</f>
        <v>582.12</v>
      </c>
      <c r="H55" s="8">
        <f>0</f>
        <v>0.0</v>
      </c>
      <c r="I55" s="8">
        <f>B55*14/12</f>
        <v>1358.27</v>
      </c>
      <c r="J55" s="8">
        <f>SUM(D55:I55)</f>
        <v>6883.96</v>
      </c>
      <c r="K55" s="8">
        <f>C55+J55</f>
        <v>20854.77</v>
      </c>
    </row>
    <row r="56" spans="1:11">
      <c r="A56" s="7" t="s">
        <v>111</v>
      </c>
      <c r="K56" s="7">
        <f>SUM(K54:K55)</f>
        <v>62564.32</v>
      </c>
    </row>
    <row r="57" spans="1:11">
      <c r="A57" s="2" t="s">
        <v>112</v>
      </c>
    </row>
    <row r="58" spans="1:11">
      <c r="A58" s="4" t="s">
        <v>113</v>
      </c>
      <c r="B58" s="8">
        <v>2812.16</v>
      </c>
      <c r="C58" s="8">
        <f>B58*12</f>
        <v>33745.92</v>
      </c>
      <c r="D58" s="8">
        <f>B58*2</f>
        <v>5624.32</v>
      </c>
      <c r="E58" s="8">
        <f>C58*9%</f>
        <v>3037.13</v>
      </c>
      <c r="F58" s="8">
        <f>(C58+D58)*8.33%</f>
        <v>3279.54</v>
      </c>
      <c r="G58" s="8">
        <f>B58*0.5</f>
        <v>1406.08</v>
      </c>
      <c r="H58" s="8">
        <f>0</f>
        <v>0.0</v>
      </c>
      <c r="I58" s="8">
        <f>B58*14/12</f>
        <v>3280.85</v>
      </c>
      <c r="J58" s="8">
        <f>SUM(D58:I58)</f>
        <v>16627.93</v>
      </c>
      <c r="K58" s="8">
        <f>C58+J58</f>
        <v>50373.85</v>
      </c>
    </row>
    <row r="59" spans="1:11">
      <c r="A59" s="4" t="s">
        <v>114</v>
      </c>
      <c r="B59" s="8">
        <v>1462.3232</v>
      </c>
      <c r="C59" s="8">
        <f>B59*12</f>
        <v>17547.88</v>
      </c>
      <c r="D59" s="8">
        <f>B59*2</f>
        <v>2924.65</v>
      </c>
      <c r="E59" s="8">
        <f>C59*9%</f>
        <v>1579.31</v>
      </c>
      <c r="F59" s="8">
        <f>(C59+D59)*8.33%</f>
        <v>1705.36</v>
      </c>
      <c r="G59" s="8">
        <f>B59*0.5</f>
        <v>731.16</v>
      </c>
      <c r="H59" s="8">
        <f>0</f>
        <v>0.0</v>
      </c>
      <c r="I59" s="8">
        <f>B59*14/12</f>
        <v>1706.04</v>
      </c>
      <c r="J59" s="8">
        <f>SUM(D59:I59)</f>
        <v>8646.52</v>
      </c>
      <c r="K59" s="8">
        <f>C59+J59</f>
        <v>26194.4</v>
      </c>
    </row>
    <row r="60" spans="1:11">
      <c r="A60" s="4" t="s">
        <v>120</v>
      </c>
      <c r="B60" s="8">
        <v>1946.88</v>
      </c>
      <c r="C60" s="8">
        <f>B60*12</f>
        <v>23362.56</v>
      </c>
      <c r="D60" s="8">
        <f>B60*2</f>
        <v>3893.76</v>
      </c>
      <c r="E60" s="8">
        <f>C60*9%</f>
        <v>2102.63</v>
      </c>
      <c r="F60" s="8">
        <f>(C60+D60)*8.33%</f>
        <v>2270.45</v>
      </c>
      <c r="G60" s="8">
        <f>B60*0.5</f>
        <v>973.44</v>
      </c>
      <c r="H60" s="8">
        <f>0</f>
        <v>0.0</v>
      </c>
      <c r="I60" s="8">
        <f>B60*14/12</f>
        <v>2271.36</v>
      </c>
      <c r="J60" s="8">
        <f>SUM(D60:I60)</f>
        <v>11511.64</v>
      </c>
      <c r="K60" s="8">
        <f>C60+J60</f>
        <v>34874.2</v>
      </c>
    </row>
    <row r="61" spans="1:11">
      <c r="A61" s="4" t="s">
        <v>122</v>
      </c>
      <c r="B61" s="8">
        <v>1248</v>
      </c>
      <c r="C61" s="8">
        <f>B61*12</f>
        <v>14976.0</v>
      </c>
      <c r="D61" s="8">
        <f>B61*2</f>
        <v>2496.0</v>
      </c>
      <c r="E61" s="8">
        <f>C61*9%</f>
        <v>1347.84</v>
      </c>
      <c r="F61" s="8">
        <f>(C61+D61)*8.33%</f>
        <v>1455.42</v>
      </c>
      <c r="G61" s="8">
        <f>B61*0.5</f>
        <v>624.0</v>
      </c>
      <c r="H61" s="8">
        <f>0</f>
        <v>0.0</v>
      </c>
      <c r="I61" s="8">
        <f>B61*14/12</f>
        <v>1456.0</v>
      </c>
      <c r="J61" s="8">
        <f>SUM(D61:I61)</f>
        <v>7379.26</v>
      </c>
      <c r="K61" s="8">
        <f>C61+J61</f>
        <v>22355.26</v>
      </c>
    </row>
    <row r="62" spans="1:11">
      <c r="A62" s="7" t="s">
        <v>115</v>
      </c>
      <c r="K62" s="7">
        <f>SUM(K58:K61)</f>
        <v>133797.71</v>
      </c>
    </row>
    <row r="63" spans="1:11">
      <c r="A63" s="2" t="s">
        <v>116</v>
      </c>
    </row>
    <row r="64" spans="1:11">
      <c r="A64" s="4" t="s">
        <v>117</v>
      </c>
      <c r="B64" s="8">
        <v>1912.2688</v>
      </c>
      <c r="C64" s="8">
        <f>B64*12</f>
        <v>22947.23</v>
      </c>
      <c r="D64" s="8">
        <f>B64*2</f>
        <v>3824.54</v>
      </c>
      <c r="E64" s="8">
        <f>C64*9%</f>
        <v>2065.25</v>
      </c>
      <c r="F64" s="8">
        <f>(C64+D64)*8.33%</f>
        <v>2230.09</v>
      </c>
      <c r="G64" s="8">
        <f>B64*0.5</f>
        <v>956.13</v>
      </c>
      <c r="H64" s="8">
        <f>0</f>
        <v>0.0</v>
      </c>
      <c r="I64" s="8">
        <f>B64*14/12</f>
        <v>2230.98</v>
      </c>
      <c r="J64" s="8">
        <f>SUM(D64:I64)</f>
        <v>11306.99</v>
      </c>
      <c r="K64" s="8">
        <f>C64+J64</f>
        <v>34254.22</v>
      </c>
    </row>
    <row r="65" spans="1:11">
      <c r="A65" s="4" t="s">
        <v>124</v>
      </c>
      <c r="B65" s="8">
        <v>1500</v>
      </c>
      <c r="C65" s="8">
        <f>B65*12</f>
        <v>18000.0</v>
      </c>
      <c r="D65" s="8">
        <f>B65*2</f>
        <v>3000.0</v>
      </c>
      <c r="E65" s="8">
        <f>C65*9%</f>
        <v>1620.0</v>
      </c>
      <c r="F65" s="8">
        <f>(C65+D65)*8.33%</f>
        <v>1749.3</v>
      </c>
      <c r="G65" s="8">
        <f>B65*0.5</f>
        <v>750.0</v>
      </c>
      <c r="H65" s="8">
        <f>0</f>
        <v>0.0</v>
      </c>
      <c r="I65" s="8">
        <f>B65*14/12</f>
        <v>1750.0</v>
      </c>
      <c r="J65" s="8">
        <f>SUM(D65:I65)</f>
        <v>8869.3</v>
      </c>
      <c r="K65" s="8">
        <f>C65+J65</f>
        <v>26869.3</v>
      </c>
    </row>
    <row r="66" spans="1:11">
      <c r="A66" s="7" t="s">
        <v>118</v>
      </c>
      <c r="K66" s="7">
        <f>SUM(K64:K65)</f>
        <v>61123.52</v>
      </c>
    </row>
    <row r="69" spans="1:11">
      <c r="A69" s="2" t="s">
        <v>125</v>
      </c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3" t="s">
        <v>97</v>
      </c>
      <c r="B70" s="3" t="s">
        <v>98</v>
      </c>
      <c r="C70" s="3" t="s">
        <v>99</v>
      </c>
      <c r="D70" s="3" t="s">
        <v>100</v>
      </c>
      <c r="E70" s="3" t="s">
        <v>101</v>
      </c>
      <c r="F70" s="3" t="s">
        <v>102</v>
      </c>
      <c r="G70" s="3" t="s">
        <v>103</v>
      </c>
      <c r="H70" s="3" t="s">
        <v>104</v>
      </c>
      <c r="I70" s="3" t="s">
        <v>105</v>
      </c>
      <c r="J70" s="3" t="s">
        <v>106</v>
      </c>
      <c r="K70" s="3" t="s">
        <v>107</v>
      </c>
    </row>
    <row r="71" spans="1:11">
      <c r="A71" s="2" t="s">
        <v>108</v>
      </c>
    </row>
    <row r="72" spans="1:11">
      <c r="A72" s="4" t="s">
        <v>109</v>
      </c>
      <c r="B72" s="8">
        <v>2421.6072192</v>
      </c>
      <c r="C72" s="8">
        <f>B72*12</f>
        <v>29059.29</v>
      </c>
      <c r="D72" s="8">
        <f>B72*2</f>
        <v>4843.21</v>
      </c>
      <c r="E72" s="8">
        <f>C72*9%</f>
        <v>2615.34</v>
      </c>
      <c r="F72" s="8">
        <f>(C72+D72)*8.33%</f>
        <v>2824.08</v>
      </c>
      <c r="G72" s="8">
        <f>B72*0.5</f>
        <v>1210.8</v>
      </c>
      <c r="H72" s="8">
        <f>0</f>
        <v>0.0</v>
      </c>
      <c r="I72" s="8">
        <f>B72*14/12</f>
        <v>2825.21</v>
      </c>
      <c r="J72" s="8">
        <f>SUM(D72:I72)</f>
        <v>14318.64</v>
      </c>
      <c r="K72" s="8">
        <f>C72+J72</f>
        <v>43377.93</v>
      </c>
    </row>
    <row r="73" spans="1:11">
      <c r="A73" s="4" t="s">
        <v>110</v>
      </c>
      <c r="B73" s="8">
        <v>1210.8036096</v>
      </c>
      <c r="C73" s="8">
        <f>B73*12</f>
        <v>14529.64</v>
      </c>
      <c r="D73" s="8">
        <f>B73*2</f>
        <v>2421.61</v>
      </c>
      <c r="E73" s="8">
        <f>C73*9%</f>
        <v>1307.67</v>
      </c>
      <c r="F73" s="8">
        <f>(C73+D73)*8.33%</f>
        <v>1412.04</v>
      </c>
      <c r="G73" s="8">
        <f>B73*0.5</f>
        <v>605.4</v>
      </c>
      <c r="H73" s="8">
        <f>0</f>
        <v>0.0</v>
      </c>
      <c r="I73" s="8">
        <f>B73*14/12</f>
        <v>1412.6</v>
      </c>
      <c r="J73" s="8">
        <f>SUM(D73:I73)</f>
        <v>7159.32</v>
      </c>
      <c r="K73" s="8">
        <f>C73+J73</f>
        <v>21688.96</v>
      </c>
    </row>
    <row r="74" spans="1:11">
      <c r="A74" s="4" t="s">
        <v>126</v>
      </c>
      <c r="B74" s="8">
        <v>1380</v>
      </c>
      <c r="C74" s="8">
        <f>B74*12</f>
        <v>16560.0</v>
      </c>
      <c r="D74" s="8">
        <f>B74*2</f>
        <v>2760.0</v>
      </c>
      <c r="E74" s="8">
        <f>C74*9%</f>
        <v>1490.4</v>
      </c>
      <c r="F74" s="8">
        <f>(C74+D74)*8.33%</f>
        <v>1609.36</v>
      </c>
      <c r="G74" s="8">
        <f>B74*0.5</f>
        <v>690.0</v>
      </c>
      <c r="H74" s="8">
        <f>0</f>
        <v>0.0</v>
      </c>
      <c r="I74" s="8">
        <f>B74*14/12</f>
        <v>1610.0</v>
      </c>
      <c r="J74" s="8">
        <f>SUM(D74:I74)</f>
        <v>8159.76</v>
      </c>
      <c r="K74" s="8">
        <f>C74+J74</f>
        <v>24719.76</v>
      </c>
    </row>
    <row r="75" spans="1:11">
      <c r="A75" s="7" t="s">
        <v>111</v>
      </c>
      <c r="K75" s="7">
        <f>SUM(K72:K74)</f>
        <v>89786.65</v>
      </c>
    </row>
    <row r="76" spans="1:11">
      <c r="A76" s="2" t="s">
        <v>112</v>
      </c>
    </row>
    <row r="77" spans="1:11">
      <c r="A77" s="4" t="s">
        <v>113</v>
      </c>
      <c r="B77" s="8">
        <v>2924.646400000001</v>
      </c>
      <c r="C77" s="8">
        <f>B77*12</f>
        <v>35095.76</v>
      </c>
      <c r="D77" s="8">
        <f>B77*2</f>
        <v>5849.29</v>
      </c>
      <c r="E77" s="8">
        <f>C77*9%</f>
        <v>3158.62</v>
      </c>
      <c r="F77" s="8">
        <f>(C77+D77)*8.33%</f>
        <v>3410.72</v>
      </c>
      <c r="G77" s="8">
        <f>B77*0.5</f>
        <v>1462.32</v>
      </c>
      <c r="H77" s="8">
        <f>0</f>
        <v>0.0</v>
      </c>
      <c r="I77" s="8">
        <f>B77*14/12</f>
        <v>3412.09</v>
      </c>
      <c r="J77" s="8">
        <f>SUM(D77:I77)</f>
        <v>17293.04</v>
      </c>
      <c r="K77" s="8">
        <f>C77+J77</f>
        <v>52388.8</v>
      </c>
    </row>
    <row r="78" spans="1:11">
      <c r="A78" s="4" t="s">
        <v>114</v>
      </c>
      <c r="B78" s="8">
        <v>1520.816128</v>
      </c>
      <c r="C78" s="8">
        <f>B78*12</f>
        <v>18249.79</v>
      </c>
      <c r="D78" s="8">
        <f>B78*2</f>
        <v>3041.63</v>
      </c>
      <c r="E78" s="8">
        <f>C78*9%</f>
        <v>1642.48</v>
      </c>
      <c r="F78" s="8">
        <f>(C78+D78)*8.33%</f>
        <v>1773.58</v>
      </c>
      <c r="G78" s="8">
        <f>B78*0.5</f>
        <v>760.41</v>
      </c>
      <c r="H78" s="8">
        <f>0</f>
        <v>0.0</v>
      </c>
      <c r="I78" s="8">
        <f>B78*14/12</f>
        <v>1774.29</v>
      </c>
      <c r="J78" s="8">
        <f>SUM(D78:I78)</f>
        <v>8992.38</v>
      </c>
      <c r="K78" s="8">
        <f>C78+J78</f>
        <v>27242.18</v>
      </c>
    </row>
    <row r="79" spans="1:11">
      <c r="A79" s="4" t="s">
        <v>120</v>
      </c>
      <c r="B79" s="8">
        <v>2024.7552</v>
      </c>
      <c r="C79" s="8">
        <f>B79*12</f>
        <v>24297.06</v>
      </c>
      <c r="D79" s="8">
        <f>B79*2</f>
        <v>4049.51</v>
      </c>
      <c r="E79" s="8">
        <f>C79*9%</f>
        <v>2186.74</v>
      </c>
      <c r="F79" s="8">
        <f>(C79+D79)*8.33%</f>
        <v>2361.27</v>
      </c>
      <c r="G79" s="8">
        <f>B79*0.5</f>
        <v>1012.38</v>
      </c>
      <c r="H79" s="8">
        <f>0</f>
        <v>0.0</v>
      </c>
      <c r="I79" s="8">
        <f>B79*14/12</f>
        <v>2362.21</v>
      </c>
      <c r="J79" s="8">
        <f>SUM(D79:I79)</f>
        <v>11972.11</v>
      </c>
      <c r="K79" s="8">
        <f>C79+J79</f>
        <v>36269.17</v>
      </c>
    </row>
    <row r="80" spans="1:11">
      <c r="A80" s="4" t="s">
        <v>122</v>
      </c>
      <c r="B80" s="8">
        <v>1297.92</v>
      </c>
      <c r="C80" s="8">
        <f>B80*12</f>
        <v>15575.04</v>
      </c>
      <c r="D80" s="8">
        <f>B80*2</f>
        <v>2595.84</v>
      </c>
      <c r="E80" s="8">
        <f>C80*9%</f>
        <v>1401.75</v>
      </c>
      <c r="F80" s="8">
        <f>(C80+D80)*8.33%</f>
        <v>1513.63</v>
      </c>
      <c r="G80" s="8">
        <f>B80*0.5</f>
        <v>648.96</v>
      </c>
      <c r="H80" s="8">
        <f>0</f>
        <v>0.0</v>
      </c>
      <c r="I80" s="8">
        <f>B80*14/12</f>
        <v>1514.24</v>
      </c>
      <c r="J80" s="8">
        <f>SUM(D80:I80)</f>
        <v>7674.43</v>
      </c>
      <c r="K80" s="8">
        <f>C80+J80</f>
        <v>23249.47</v>
      </c>
    </row>
    <row r="81" spans="1:11">
      <c r="A81" s="7" t="s">
        <v>115</v>
      </c>
      <c r="K81" s="7">
        <f>SUM(K77:K80)</f>
        <v>139149.62</v>
      </c>
    </row>
    <row r="82" spans="1:11">
      <c r="A82" s="2" t="s">
        <v>116</v>
      </c>
    </row>
    <row r="83" spans="1:11">
      <c r="A83" s="4" t="s">
        <v>117</v>
      </c>
      <c r="B83" s="8">
        <v>1988.759552</v>
      </c>
      <c r="C83" s="8">
        <f>B83*12</f>
        <v>23865.11</v>
      </c>
      <c r="D83" s="8">
        <f>B83*2</f>
        <v>3977.52</v>
      </c>
      <c r="E83" s="8">
        <f>C83*9%</f>
        <v>2147.86</v>
      </c>
      <c r="F83" s="8">
        <f>(C83+D83)*8.33%</f>
        <v>2319.29</v>
      </c>
      <c r="G83" s="8">
        <f>B83*0.5</f>
        <v>994.38</v>
      </c>
      <c r="H83" s="8">
        <f>0</f>
        <v>0.0</v>
      </c>
      <c r="I83" s="8">
        <f>B83*14/12</f>
        <v>2320.22</v>
      </c>
      <c r="J83" s="8">
        <f>SUM(D83:I83)</f>
        <v>11759.27</v>
      </c>
      <c r="K83" s="8">
        <f>C83+J83</f>
        <v>35624.38</v>
      </c>
    </row>
    <row r="84" spans="1:11">
      <c r="A84" s="4" t="s">
        <v>124</v>
      </c>
      <c r="B84" s="8">
        <v>1560</v>
      </c>
      <c r="C84" s="8">
        <f>B84*12</f>
        <v>18720.0</v>
      </c>
      <c r="D84" s="8">
        <f>B84*2</f>
        <v>3120.0</v>
      </c>
      <c r="E84" s="8">
        <f>C84*9%</f>
        <v>1684.8</v>
      </c>
      <c r="F84" s="8">
        <f>(C84+D84)*8.33%</f>
        <v>1819.27</v>
      </c>
      <c r="G84" s="8">
        <f>B84*0.5</f>
        <v>780.0</v>
      </c>
      <c r="H84" s="8">
        <f>0</f>
        <v>0.0</v>
      </c>
      <c r="I84" s="8">
        <f>B84*14/12</f>
        <v>1820.0</v>
      </c>
      <c r="J84" s="8">
        <f>SUM(D84:I84)</f>
        <v>9224.07</v>
      </c>
      <c r="K84" s="8">
        <f>C84+J84</f>
        <v>27944.07</v>
      </c>
    </row>
    <row r="85" spans="1:11">
      <c r="A85" s="7" t="s">
        <v>118</v>
      </c>
      <c r="K85" s="7">
        <f>SUM(K83:K84)</f>
        <v>63568.46</v>
      </c>
    </row>
    <row r="88" spans="1:11">
      <c r="A88" s="2" t="s">
        <v>127</v>
      </c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3" t="s">
        <v>97</v>
      </c>
      <c r="B89" s="3" t="s">
        <v>98</v>
      </c>
      <c r="C89" s="3" t="s">
        <v>99</v>
      </c>
      <c r="D89" s="3" t="s">
        <v>100</v>
      </c>
      <c r="E89" s="3" t="s">
        <v>101</v>
      </c>
      <c r="F89" s="3" t="s">
        <v>102</v>
      </c>
      <c r="G89" s="3" t="s">
        <v>103</v>
      </c>
      <c r="H89" s="3" t="s">
        <v>104</v>
      </c>
      <c r="I89" s="3" t="s">
        <v>105</v>
      </c>
      <c r="J89" s="3" t="s">
        <v>106</v>
      </c>
      <c r="K89" s="3" t="s">
        <v>107</v>
      </c>
    </row>
    <row r="90" spans="1:11">
      <c r="A90" s="2" t="s">
        <v>108</v>
      </c>
    </row>
    <row r="91" spans="1:11">
      <c r="A91" s="4" t="s">
        <v>109</v>
      </c>
      <c r="B91" s="8">
        <v>2518.471507968</v>
      </c>
      <c r="C91" s="8">
        <f>B91*12</f>
        <v>30221.66</v>
      </c>
      <c r="D91" s="8">
        <f>B91*2</f>
        <v>5036.94</v>
      </c>
      <c r="E91" s="8">
        <f>C91*9%</f>
        <v>2719.95</v>
      </c>
      <c r="F91" s="8">
        <f>(C91+D91)*8.33%</f>
        <v>2937.04</v>
      </c>
      <c r="G91" s="8">
        <f>B91*0.5</f>
        <v>1259.24</v>
      </c>
      <c r="H91" s="8">
        <f>0</f>
        <v>0.0</v>
      </c>
      <c r="I91" s="8">
        <f>B91*14/12</f>
        <v>2938.22</v>
      </c>
      <c r="J91" s="8">
        <f>SUM(D91:I91)</f>
        <v>14891.39</v>
      </c>
      <c r="K91" s="8">
        <f>C91+J91</f>
        <v>45113.04</v>
      </c>
    </row>
    <row r="92" spans="1:11">
      <c r="A92" s="4" t="s">
        <v>110</v>
      </c>
      <c r="B92" s="8">
        <v>1259.235753984</v>
      </c>
      <c r="C92" s="8">
        <f>B92*12</f>
        <v>15110.83</v>
      </c>
      <c r="D92" s="8">
        <f>B92*2</f>
        <v>2518.47</v>
      </c>
      <c r="E92" s="8">
        <f>C92*9%</f>
        <v>1359.97</v>
      </c>
      <c r="F92" s="8">
        <f>(C92+D92)*8.33%</f>
        <v>1468.52</v>
      </c>
      <c r="G92" s="8">
        <f>B92*0.5</f>
        <v>629.62</v>
      </c>
      <c r="H92" s="8">
        <f>0</f>
        <v>0.0</v>
      </c>
      <c r="I92" s="8">
        <f>B92*14/12</f>
        <v>1469.11</v>
      </c>
      <c r="J92" s="8">
        <f>SUM(D92:I92)</f>
        <v>7445.69</v>
      </c>
      <c r="K92" s="8">
        <f>C92+J92</f>
        <v>22556.52</v>
      </c>
    </row>
    <row r="93" spans="1:11">
      <c r="A93" s="4" t="s">
        <v>126</v>
      </c>
      <c r="B93" s="8">
        <v>1435.2</v>
      </c>
      <c r="C93" s="8">
        <f>B93*12</f>
        <v>17222.4</v>
      </c>
      <c r="D93" s="8">
        <f>B93*2</f>
        <v>2870.4</v>
      </c>
      <c r="E93" s="8">
        <f>C93*9%</f>
        <v>1550.02</v>
      </c>
      <c r="F93" s="8">
        <f>(C93+D93)*8.33%</f>
        <v>1673.73</v>
      </c>
      <c r="G93" s="8">
        <f>B93*0.5</f>
        <v>717.6</v>
      </c>
      <c r="H93" s="8">
        <f>0</f>
        <v>0.0</v>
      </c>
      <c r="I93" s="8">
        <f>B93*14/12</f>
        <v>1674.4</v>
      </c>
      <c r="J93" s="8">
        <f>SUM(D93:I93)</f>
        <v>8486.15</v>
      </c>
      <c r="K93" s="8">
        <f>C93+J93</f>
        <v>25708.55</v>
      </c>
    </row>
    <row r="94" spans="1:11">
      <c r="A94" s="7" t="s">
        <v>111</v>
      </c>
      <c r="K94" s="7">
        <f>SUM(K91:K93)</f>
        <v>93378.11</v>
      </c>
    </row>
    <row r="95" spans="1:11">
      <c r="A95" s="2" t="s">
        <v>112</v>
      </c>
    </row>
    <row r="96" spans="1:11">
      <c r="A96" s="4" t="s">
        <v>113</v>
      </c>
      <c r="B96" s="8">
        <v>3041.632256</v>
      </c>
      <c r="C96" s="8">
        <f>B96*12</f>
        <v>36499.59</v>
      </c>
      <c r="D96" s="8">
        <f>B96*2</f>
        <v>6083.26</v>
      </c>
      <c r="E96" s="8">
        <f>C96*9%</f>
        <v>3284.96</v>
      </c>
      <c r="F96" s="8">
        <f>(C96+D96)*8.33%</f>
        <v>3547.15</v>
      </c>
      <c r="G96" s="8">
        <f>B96*0.5</f>
        <v>1520.82</v>
      </c>
      <c r="H96" s="8">
        <f>0</f>
        <v>0.0</v>
      </c>
      <c r="I96" s="8">
        <f>B96*14/12</f>
        <v>3548.57</v>
      </c>
      <c r="J96" s="8">
        <f>SUM(D96:I96)</f>
        <v>17984.77</v>
      </c>
      <c r="K96" s="8">
        <f>C96+J96</f>
        <v>54484.35</v>
      </c>
    </row>
    <row r="97" spans="1:11">
      <c r="A97" s="4" t="s">
        <v>114</v>
      </c>
      <c r="B97" s="8">
        <v>1581.64877312</v>
      </c>
      <c r="C97" s="8">
        <f>B97*12</f>
        <v>18979.79</v>
      </c>
      <c r="D97" s="8">
        <f>B97*2</f>
        <v>3163.3</v>
      </c>
      <c r="E97" s="8">
        <f>C97*9%</f>
        <v>1708.18</v>
      </c>
      <c r="F97" s="8">
        <f>(C97+D97)*8.33%</f>
        <v>1844.52</v>
      </c>
      <c r="G97" s="8">
        <f>B97*0.5</f>
        <v>790.82</v>
      </c>
      <c r="H97" s="8">
        <f>0</f>
        <v>0.0</v>
      </c>
      <c r="I97" s="8">
        <f>B97*14/12</f>
        <v>1845.26</v>
      </c>
      <c r="J97" s="8">
        <f>SUM(D97:I97)</f>
        <v>9352.08</v>
      </c>
      <c r="K97" s="8">
        <f>C97+J97</f>
        <v>28331.86</v>
      </c>
    </row>
    <row r="98" spans="1:11">
      <c r="A98" s="4" t="s">
        <v>120</v>
      </c>
      <c r="B98" s="8">
        <v>2105.745408</v>
      </c>
      <c r="C98" s="8">
        <f>B98*12</f>
        <v>25268.94</v>
      </c>
      <c r="D98" s="8">
        <f>B98*2</f>
        <v>4211.49</v>
      </c>
      <c r="E98" s="8">
        <f>C98*9%</f>
        <v>2274.21</v>
      </c>
      <c r="F98" s="8">
        <f>(C98+D98)*8.33%</f>
        <v>2455.72</v>
      </c>
      <c r="G98" s="8">
        <f>B98*0.5</f>
        <v>1052.87</v>
      </c>
      <c r="H98" s="8">
        <f>0</f>
        <v>0.0</v>
      </c>
      <c r="I98" s="8">
        <f>B98*14/12</f>
        <v>2456.7</v>
      </c>
      <c r="J98" s="8">
        <f>SUM(D98:I98)</f>
        <v>12450.99</v>
      </c>
      <c r="K98" s="8">
        <f>C98+J98</f>
        <v>37719.94</v>
      </c>
    </row>
    <row r="99" spans="1:11">
      <c r="A99" s="4" t="s">
        <v>122</v>
      </c>
      <c r="B99" s="8">
        <v>1349.8368</v>
      </c>
      <c r="C99" s="8">
        <f>B99*12</f>
        <v>16198.04</v>
      </c>
      <c r="D99" s="8">
        <f>B99*2</f>
        <v>2699.67</v>
      </c>
      <c r="E99" s="8">
        <f>C99*9%</f>
        <v>1457.82</v>
      </c>
      <c r="F99" s="8">
        <f>(C99+D99)*8.33%</f>
        <v>1574.18</v>
      </c>
      <c r="G99" s="8">
        <f>B99*0.5</f>
        <v>674.92</v>
      </c>
      <c r="H99" s="8">
        <f>0</f>
        <v>0.0</v>
      </c>
      <c r="I99" s="8">
        <f>B99*14/12</f>
        <v>1574.81</v>
      </c>
      <c r="J99" s="8">
        <f>SUM(D99:I99)</f>
        <v>7981.41</v>
      </c>
      <c r="K99" s="8">
        <f>C99+J99</f>
        <v>24179.45</v>
      </c>
    </row>
    <row r="100" spans="1:11">
      <c r="A100" s="4" t="s">
        <v>128</v>
      </c>
      <c r="B100" s="8">
        <v>1300</v>
      </c>
      <c r="C100" s="8">
        <f>B100*12</f>
        <v>15600.0</v>
      </c>
      <c r="D100" s="8">
        <f>B100*2</f>
        <v>2600.0</v>
      </c>
      <c r="E100" s="8">
        <f>C100*9%</f>
        <v>1404.0</v>
      </c>
      <c r="F100" s="8">
        <f>(C100+D100)*8.33%</f>
        <v>1516.06</v>
      </c>
      <c r="G100" s="8">
        <f>B100*0.5</f>
        <v>650.0</v>
      </c>
      <c r="H100" s="8">
        <f>0</f>
        <v>0.0</v>
      </c>
      <c r="I100" s="8">
        <f>B100*14/12</f>
        <v>1516.67</v>
      </c>
      <c r="J100" s="8">
        <f>SUM(D100:I100)</f>
        <v>7686.73</v>
      </c>
      <c r="K100" s="8">
        <f>C100+J100</f>
        <v>23286.73</v>
      </c>
    </row>
    <row r="101" spans="1:11">
      <c r="A101" s="7" t="s">
        <v>115</v>
      </c>
      <c r="K101" s="7">
        <f>SUM(K96:K100)</f>
        <v>168002.33</v>
      </c>
    </row>
    <row r="102" spans="1:11">
      <c r="A102" s="2" t="s">
        <v>116</v>
      </c>
    </row>
    <row r="103" spans="1:11">
      <c r="A103" s="4" t="s">
        <v>117</v>
      </c>
      <c r="B103" s="8">
        <v>2068.30993408</v>
      </c>
      <c r="C103" s="8">
        <f>B103*12</f>
        <v>24819.72</v>
      </c>
      <c r="D103" s="8">
        <f>B103*2</f>
        <v>4136.62</v>
      </c>
      <c r="E103" s="8">
        <f>C103*9%</f>
        <v>2233.77</v>
      </c>
      <c r="F103" s="8">
        <f>(C103+D103)*8.33%</f>
        <v>2412.06</v>
      </c>
      <c r="G103" s="8">
        <f>B103*0.5</f>
        <v>1034.15</v>
      </c>
      <c r="H103" s="8">
        <f>0</f>
        <v>0.0</v>
      </c>
      <c r="I103" s="8">
        <f>B103*14/12</f>
        <v>2413.03</v>
      </c>
      <c r="J103" s="8">
        <f>SUM(D103:I103)</f>
        <v>12229.64</v>
      </c>
      <c r="K103" s="8">
        <f>C103+J103</f>
        <v>37049.36</v>
      </c>
    </row>
    <row r="104" spans="1:11">
      <c r="A104" s="4" t="s">
        <v>124</v>
      </c>
      <c r="B104" s="8">
        <v>1622.4</v>
      </c>
      <c r="C104" s="8">
        <f>B104*12</f>
        <v>19468.8</v>
      </c>
      <c r="D104" s="8">
        <f>B104*2</f>
        <v>3244.8</v>
      </c>
      <c r="E104" s="8">
        <f>C104*9%</f>
        <v>1752.19</v>
      </c>
      <c r="F104" s="8">
        <f>(C104+D104)*8.33%</f>
        <v>1892.04</v>
      </c>
      <c r="G104" s="8">
        <f>B104*0.5</f>
        <v>811.2</v>
      </c>
      <c r="H104" s="8">
        <f>0</f>
        <v>0.0</v>
      </c>
      <c r="I104" s="8">
        <f>B104*14/12</f>
        <v>1892.8</v>
      </c>
      <c r="J104" s="8">
        <f>SUM(D104:I104)</f>
        <v>9593.03</v>
      </c>
      <c r="K104" s="8">
        <f>C104+J104</f>
        <v>29061.83</v>
      </c>
    </row>
    <row r="105" spans="1:11">
      <c r="A105" s="7" t="s">
        <v>118</v>
      </c>
      <c r="K105" s="7">
        <f>SUM(K103:K104)</f>
        <v>66111.19</v>
      </c>
    </row>
    <row r="108" spans="1:11">
      <c r="A108" s="2" t="s">
        <v>129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3" t="s">
        <v>97</v>
      </c>
      <c r="B109" s="3" t="s">
        <v>98</v>
      </c>
      <c r="C109" s="3" t="s">
        <v>99</v>
      </c>
      <c r="D109" s="3" t="s">
        <v>100</v>
      </c>
      <c r="E109" s="3" t="s">
        <v>101</v>
      </c>
      <c r="F109" s="3" t="s">
        <v>102</v>
      </c>
      <c r="G109" s="3" t="s">
        <v>103</v>
      </c>
      <c r="H109" s="3" t="s">
        <v>104</v>
      </c>
      <c r="I109" s="3" t="s">
        <v>105</v>
      </c>
      <c r="J109" s="3" t="s">
        <v>106</v>
      </c>
      <c r="K109" s="3" t="s">
        <v>107</v>
      </c>
    </row>
    <row r="110" spans="1:11">
      <c r="A110" s="2" t="s">
        <v>108</v>
      </c>
    </row>
    <row r="111" spans="1:11">
      <c r="A111" s="4" t="s">
        <v>109</v>
      </c>
      <c r="B111" s="8">
        <v>2619.21036828672</v>
      </c>
      <c r="C111" s="8">
        <f>B111*12</f>
        <v>31430.52</v>
      </c>
      <c r="D111" s="8">
        <f>B111*2</f>
        <v>5238.42</v>
      </c>
      <c r="E111" s="8">
        <f>C111*9%</f>
        <v>2828.75</v>
      </c>
      <c r="F111" s="8">
        <f>(C111+D111)*8.33%</f>
        <v>3054.52</v>
      </c>
      <c r="G111" s="8">
        <f>B111*0.5</f>
        <v>1309.61</v>
      </c>
      <c r="H111" s="8">
        <f>0</f>
        <v>0.0</v>
      </c>
      <c r="I111" s="8">
        <f>B111*14/12</f>
        <v>3055.75</v>
      </c>
      <c r="J111" s="8">
        <f>SUM(D111:I111)</f>
        <v>15487.04</v>
      </c>
      <c r="K111" s="8">
        <f>C111+J111</f>
        <v>46917.57</v>
      </c>
    </row>
    <row r="112" spans="1:11">
      <c r="A112" s="4" t="s">
        <v>110</v>
      </c>
      <c r="B112" s="8">
        <v>1309.60518414336</v>
      </c>
      <c r="C112" s="8">
        <f>B112*12</f>
        <v>15715.26</v>
      </c>
      <c r="D112" s="8">
        <f>B112*2</f>
        <v>2619.21</v>
      </c>
      <c r="E112" s="8">
        <f>C112*9%</f>
        <v>1414.37</v>
      </c>
      <c r="F112" s="8">
        <f>(C112+D112)*8.33%</f>
        <v>1527.26</v>
      </c>
      <c r="G112" s="8">
        <f>B112*0.5</f>
        <v>654.8</v>
      </c>
      <c r="H112" s="8">
        <f>0</f>
        <v>0.0</v>
      </c>
      <c r="I112" s="8">
        <f>B112*14/12</f>
        <v>1527.87</v>
      </c>
      <c r="J112" s="8">
        <f>SUM(D112:I112)</f>
        <v>7743.52</v>
      </c>
      <c r="K112" s="8">
        <f>C112+J112</f>
        <v>23458.78</v>
      </c>
    </row>
    <row r="113" spans="1:11">
      <c r="A113" s="4" t="s">
        <v>126</v>
      </c>
      <c r="B113" s="8">
        <v>1492.608</v>
      </c>
      <c r="C113" s="8">
        <f>B113*12</f>
        <v>17911.3</v>
      </c>
      <c r="D113" s="8">
        <f>B113*2</f>
        <v>2985.22</v>
      </c>
      <c r="E113" s="8">
        <f>C113*9%</f>
        <v>1612.02</v>
      </c>
      <c r="F113" s="8">
        <f>(C113+D113)*8.33%</f>
        <v>1740.68</v>
      </c>
      <c r="G113" s="8">
        <f>B113*0.5</f>
        <v>746.3</v>
      </c>
      <c r="H113" s="8">
        <f>0</f>
        <v>0.0</v>
      </c>
      <c r="I113" s="8">
        <f>B113*14/12</f>
        <v>1741.38</v>
      </c>
      <c r="J113" s="8">
        <f>SUM(D113:I113)</f>
        <v>8825.59</v>
      </c>
      <c r="K113" s="8">
        <f>C113+J113</f>
        <v>26736.89</v>
      </c>
    </row>
    <row r="114" spans="1:11">
      <c r="A114" s="7" t="s">
        <v>111</v>
      </c>
      <c r="K114" s="7">
        <f>SUM(K111:K113)</f>
        <v>97113.24</v>
      </c>
    </row>
    <row r="115" spans="1:11">
      <c r="A115" s="2" t="s">
        <v>112</v>
      </c>
    </row>
    <row r="116" spans="1:11">
      <c r="A116" s="4" t="s">
        <v>113</v>
      </c>
      <c r="B116" s="8">
        <v>3163.297546240001</v>
      </c>
      <c r="C116" s="8">
        <f>B116*12</f>
        <v>37959.57</v>
      </c>
      <c r="D116" s="8">
        <f>B116*2</f>
        <v>6326.6</v>
      </c>
      <c r="E116" s="8">
        <f>C116*9%</f>
        <v>3416.36</v>
      </c>
      <c r="F116" s="8">
        <f>(C116+D116)*8.33%</f>
        <v>3689.04</v>
      </c>
      <c r="G116" s="8">
        <f>B116*0.5</f>
        <v>1581.65</v>
      </c>
      <c r="H116" s="8">
        <f>0</f>
        <v>0.0</v>
      </c>
      <c r="I116" s="8">
        <f>B116*14/12</f>
        <v>3690.51</v>
      </c>
      <c r="J116" s="8">
        <f>SUM(D116:I116)</f>
        <v>18704.16</v>
      </c>
      <c r="K116" s="8">
        <f>C116+J116</f>
        <v>56663.73</v>
      </c>
    </row>
    <row r="117" spans="1:11">
      <c r="A117" s="4" t="s">
        <v>114</v>
      </c>
      <c r="B117" s="8">
        <v>1644.914724044801</v>
      </c>
      <c r="C117" s="8">
        <f>B117*12</f>
        <v>19738.98</v>
      </c>
      <c r="D117" s="8">
        <f>B117*2</f>
        <v>3289.83</v>
      </c>
      <c r="E117" s="8">
        <f>C117*9%</f>
        <v>1776.51</v>
      </c>
      <c r="F117" s="8">
        <f>(C117+D117)*8.33%</f>
        <v>1918.3</v>
      </c>
      <c r="G117" s="8">
        <f>B117*0.5</f>
        <v>822.46</v>
      </c>
      <c r="H117" s="8">
        <f>0</f>
        <v>0.0</v>
      </c>
      <c r="I117" s="8">
        <f>B117*14/12</f>
        <v>1919.07</v>
      </c>
      <c r="J117" s="8">
        <f>SUM(D117:I117)</f>
        <v>9726.16</v>
      </c>
      <c r="K117" s="8">
        <f>C117+J117</f>
        <v>29465.14</v>
      </c>
    </row>
    <row r="118" spans="1:11">
      <c r="A118" s="4" t="s">
        <v>120</v>
      </c>
      <c r="B118" s="8">
        <v>2189.97522432</v>
      </c>
      <c r="C118" s="8">
        <f>B118*12</f>
        <v>26279.7</v>
      </c>
      <c r="D118" s="8">
        <f>B118*2</f>
        <v>4379.95</v>
      </c>
      <c r="E118" s="8">
        <f>C118*9%</f>
        <v>2365.17</v>
      </c>
      <c r="F118" s="8">
        <f>(C118+D118)*8.33%</f>
        <v>2553.95</v>
      </c>
      <c r="G118" s="8">
        <f>B118*0.5</f>
        <v>1094.99</v>
      </c>
      <c r="H118" s="8">
        <f>0</f>
        <v>0.0</v>
      </c>
      <c r="I118" s="8">
        <f>B118*14/12</f>
        <v>2554.97</v>
      </c>
      <c r="J118" s="8">
        <f>SUM(D118:I118)</f>
        <v>12949.03</v>
      </c>
      <c r="K118" s="8">
        <f>C118+J118</f>
        <v>39228.73</v>
      </c>
    </row>
    <row r="119" spans="1:11">
      <c r="A119" s="4" t="s">
        <v>122</v>
      </c>
      <c r="B119" s="8">
        <v>1403.830272</v>
      </c>
      <c r="C119" s="8">
        <f>B119*12</f>
        <v>16845.96</v>
      </c>
      <c r="D119" s="8">
        <f>B119*2</f>
        <v>2807.66</v>
      </c>
      <c r="E119" s="8">
        <f>C119*9%</f>
        <v>1516.14</v>
      </c>
      <c r="F119" s="8">
        <f>(C119+D119)*8.33%</f>
        <v>1637.15</v>
      </c>
      <c r="G119" s="8">
        <f>B119*0.5</f>
        <v>701.92</v>
      </c>
      <c r="H119" s="8">
        <f>0</f>
        <v>0.0</v>
      </c>
      <c r="I119" s="8">
        <f>B119*14/12</f>
        <v>1637.8</v>
      </c>
      <c r="J119" s="8">
        <f>SUM(D119:I119)</f>
        <v>8300.66</v>
      </c>
      <c r="K119" s="8">
        <f>C119+J119</f>
        <v>25146.62</v>
      </c>
    </row>
    <row r="120" spans="1:11">
      <c r="A120" s="4" t="s">
        <v>128</v>
      </c>
      <c r="B120" s="8">
        <v>1352</v>
      </c>
      <c r="C120" s="8">
        <f>B120*12</f>
        <v>16224.0</v>
      </c>
      <c r="D120" s="8">
        <f>B120*2</f>
        <v>2704.0</v>
      </c>
      <c r="E120" s="8">
        <f>C120*9%</f>
        <v>1460.16</v>
      </c>
      <c r="F120" s="8">
        <f>(C120+D120)*8.33%</f>
        <v>1576.7</v>
      </c>
      <c r="G120" s="8">
        <f>B120*0.5</f>
        <v>676.0</v>
      </c>
      <c r="H120" s="8">
        <f>0</f>
        <v>0.0</v>
      </c>
      <c r="I120" s="8">
        <f>B120*14/12</f>
        <v>1577.33</v>
      </c>
      <c r="J120" s="8">
        <f>SUM(D120:I120)</f>
        <v>7994.2</v>
      </c>
      <c r="K120" s="8">
        <f>C120+J120</f>
        <v>24218.2</v>
      </c>
    </row>
    <row r="121" spans="1:11">
      <c r="A121" s="7" t="s">
        <v>115</v>
      </c>
      <c r="K121" s="7">
        <f>SUM(K116:K120)</f>
        <v>174722.42</v>
      </c>
    </row>
    <row r="122" spans="1:11">
      <c r="A122" s="2" t="s">
        <v>116</v>
      </c>
    </row>
    <row r="123" spans="1:11">
      <c r="A123" s="4" t="s">
        <v>117</v>
      </c>
      <c r="B123" s="8">
        <v>2151.042331443201</v>
      </c>
      <c r="C123" s="8">
        <f>B123*12</f>
        <v>25812.51</v>
      </c>
      <c r="D123" s="8">
        <f>B123*2</f>
        <v>4302.08</v>
      </c>
      <c r="E123" s="8">
        <f>C123*9%</f>
        <v>2323.13</v>
      </c>
      <c r="F123" s="8">
        <f>(C123+D123)*8.33%</f>
        <v>2508.55</v>
      </c>
      <c r="G123" s="8">
        <f>B123*0.5</f>
        <v>1075.52</v>
      </c>
      <c r="H123" s="8">
        <f>0</f>
        <v>0.0</v>
      </c>
      <c r="I123" s="8">
        <f>B123*14/12</f>
        <v>2509.55</v>
      </c>
      <c r="J123" s="8">
        <f>SUM(D123:I123)</f>
        <v>12718.83</v>
      </c>
      <c r="K123" s="8">
        <f>C123+J123</f>
        <v>38531.33</v>
      </c>
    </row>
    <row r="124" spans="1:11">
      <c r="A124" s="4" t="s">
        <v>124</v>
      </c>
      <c r="B124" s="8">
        <v>1687.296</v>
      </c>
      <c r="C124" s="8">
        <f>B124*12</f>
        <v>20247.55</v>
      </c>
      <c r="D124" s="8">
        <f>B124*2</f>
        <v>3374.59</v>
      </c>
      <c r="E124" s="8">
        <f>C124*9%</f>
        <v>1822.28</v>
      </c>
      <c r="F124" s="8">
        <f>(C124+D124)*8.33%</f>
        <v>1967.72</v>
      </c>
      <c r="G124" s="8">
        <f>B124*0.5</f>
        <v>843.65</v>
      </c>
      <c r="H124" s="8">
        <f>0</f>
        <v>0.0</v>
      </c>
      <c r="I124" s="8">
        <f>B124*14/12</f>
        <v>1968.51</v>
      </c>
      <c r="J124" s="8">
        <f>SUM(D124:I124)</f>
        <v>9976.76</v>
      </c>
      <c r="K124" s="8">
        <f>C124+J124</f>
        <v>30224.31</v>
      </c>
    </row>
    <row r="125" spans="1:11">
      <c r="A125" s="7" t="s">
        <v>118</v>
      </c>
      <c r="K125" s="7">
        <f>SUM(K123:K124)</f>
        <v>68755.64</v>
      </c>
    </row>
    <row r="128" spans="1:11">
      <c r="A128" s="2" t="s">
        <v>130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3" t="s">
        <v>97</v>
      </c>
      <c r="B129" s="3" t="s">
        <v>98</v>
      </c>
      <c r="C129" s="3" t="s">
        <v>99</v>
      </c>
      <c r="D129" s="3" t="s">
        <v>100</v>
      </c>
      <c r="E129" s="3" t="s">
        <v>101</v>
      </c>
      <c r="F129" s="3" t="s">
        <v>102</v>
      </c>
      <c r="G129" s="3" t="s">
        <v>103</v>
      </c>
      <c r="H129" s="3" t="s">
        <v>104</v>
      </c>
      <c r="I129" s="3" t="s">
        <v>105</v>
      </c>
      <c r="J129" s="3" t="s">
        <v>106</v>
      </c>
      <c r="K129" s="3" t="s">
        <v>107</v>
      </c>
    </row>
    <row r="130" spans="1:11">
      <c r="A130" s="2" t="s">
        <v>108</v>
      </c>
    </row>
    <row r="131" spans="1:11">
      <c r="A131" s="4" t="s">
        <v>109</v>
      </c>
      <c r="B131" s="8">
        <v>2723.978783018189</v>
      </c>
      <c r="C131" s="8">
        <f>B131*12</f>
        <v>32687.75</v>
      </c>
      <c r="D131" s="8">
        <f>B131*2</f>
        <v>5447.96</v>
      </c>
      <c r="E131" s="8">
        <f>C131*9%</f>
        <v>2941.9</v>
      </c>
      <c r="F131" s="8">
        <f>(C131+D131)*8.33%</f>
        <v>3176.7</v>
      </c>
      <c r="G131" s="8">
        <f>B131*0.5</f>
        <v>1361.99</v>
      </c>
      <c r="H131" s="8">
        <f>0</f>
        <v>0.0</v>
      </c>
      <c r="I131" s="8">
        <f>B131*14/12</f>
        <v>3177.98</v>
      </c>
      <c r="J131" s="8">
        <f>SUM(D131:I131)</f>
        <v>16106.52</v>
      </c>
      <c r="K131" s="8">
        <f>C131+J131</f>
        <v>48794.27</v>
      </c>
    </row>
    <row r="132" spans="1:11">
      <c r="A132" s="4" t="s">
        <v>110</v>
      </c>
      <c r="B132" s="8">
        <v>1361.989391509095</v>
      </c>
      <c r="C132" s="8">
        <f>B132*12</f>
        <v>16343.87</v>
      </c>
      <c r="D132" s="8">
        <f>B132*2</f>
        <v>2723.98</v>
      </c>
      <c r="E132" s="8">
        <f>C132*9%</f>
        <v>1470.95</v>
      </c>
      <c r="F132" s="8">
        <f>(C132+D132)*8.33%</f>
        <v>1588.35</v>
      </c>
      <c r="G132" s="8">
        <f>B132*0.5</f>
        <v>680.99</v>
      </c>
      <c r="H132" s="8">
        <f>0</f>
        <v>0.0</v>
      </c>
      <c r="I132" s="8">
        <f>B132*14/12</f>
        <v>1588.99</v>
      </c>
      <c r="J132" s="8">
        <f>SUM(D132:I132)</f>
        <v>8053.26</v>
      </c>
      <c r="K132" s="8">
        <f>C132+J132</f>
        <v>24397.13</v>
      </c>
    </row>
    <row r="133" spans="1:11">
      <c r="A133" s="4" t="s">
        <v>126</v>
      </c>
      <c r="B133" s="8">
        <v>1552.31232</v>
      </c>
      <c r="C133" s="8">
        <f>B133*12</f>
        <v>18627.75</v>
      </c>
      <c r="D133" s="8">
        <f>B133*2</f>
        <v>3104.62</v>
      </c>
      <c r="E133" s="8">
        <f>C133*9%</f>
        <v>1676.5</v>
      </c>
      <c r="F133" s="8">
        <f>(C133+D133)*8.33%</f>
        <v>1810.31</v>
      </c>
      <c r="G133" s="8">
        <f>B133*0.5</f>
        <v>776.16</v>
      </c>
      <c r="H133" s="8">
        <f>0</f>
        <v>0.0</v>
      </c>
      <c r="I133" s="8">
        <f>B133*14/12</f>
        <v>1811.03</v>
      </c>
      <c r="J133" s="8">
        <f>SUM(D133:I133)</f>
        <v>9178.62</v>
      </c>
      <c r="K133" s="8">
        <f>C133+J133</f>
        <v>27806.36</v>
      </c>
    </row>
    <row r="134" spans="1:11">
      <c r="A134" s="7" t="s">
        <v>111</v>
      </c>
      <c r="K134" s="7">
        <f>SUM(K131:K133)</f>
        <v>100997.77</v>
      </c>
    </row>
    <row r="135" spans="1:11">
      <c r="A135" s="2" t="s">
        <v>112</v>
      </c>
    </row>
    <row r="136" spans="1:11">
      <c r="A136" s="4" t="s">
        <v>113</v>
      </c>
      <c r="B136" s="8">
        <v>3289.829448089601</v>
      </c>
      <c r="C136" s="8">
        <f>B136*12</f>
        <v>39477.95</v>
      </c>
      <c r="D136" s="8">
        <f>B136*2</f>
        <v>6579.66</v>
      </c>
      <c r="E136" s="8">
        <f>C136*9%</f>
        <v>3553.02</v>
      </c>
      <c r="F136" s="8">
        <f>(C136+D136)*8.33%</f>
        <v>3836.6</v>
      </c>
      <c r="G136" s="8">
        <f>B136*0.5</f>
        <v>1644.91</v>
      </c>
      <c r="H136" s="8">
        <f>0</f>
        <v>0.0</v>
      </c>
      <c r="I136" s="8">
        <f>B136*14/12</f>
        <v>3838.13</v>
      </c>
      <c r="J136" s="8">
        <f>SUM(D136:I136)</f>
        <v>19452.32</v>
      </c>
      <c r="K136" s="8">
        <f>C136+J136</f>
        <v>58930.28</v>
      </c>
    </row>
    <row r="137" spans="1:11">
      <c r="A137" s="4" t="s">
        <v>114</v>
      </c>
      <c r="B137" s="8">
        <v>1710.711313006592</v>
      </c>
      <c r="C137" s="8">
        <f>B137*12</f>
        <v>20528.54</v>
      </c>
      <c r="D137" s="8">
        <f>B137*2</f>
        <v>3421.42</v>
      </c>
      <c r="E137" s="8">
        <f>C137*9%</f>
        <v>1847.57</v>
      </c>
      <c r="F137" s="8">
        <f>(C137+D137)*8.33%</f>
        <v>1995.03</v>
      </c>
      <c r="G137" s="8">
        <f>B137*0.5</f>
        <v>855.36</v>
      </c>
      <c r="H137" s="8">
        <f>0</f>
        <v>0.0</v>
      </c>
      <c r="I137" s="8">
        <f>B137*14/12</f>
        <v>1995.83</v>
      </c>
      <c r="J137" s="8">
        <f>SUM(D137:I137)</f>
        <v>10115.21</v>
      </c>
      <c r="K137" s="8">
        <f>C137+J137</f>
        <v>30643.74</v>
      </c>
    </row>
    <row r="138" spans="1:11">
      <c r="A138" s="4" t="s">
        <v>120</v>
      </c>
      <c r="B138" s="8">
        <v>2277.574233292801</v>
      </c>
      <c r="C138" s="8">
        <f>B138*12</f>
        <v>27330.89</v>
      </c>
      <c r="D138" s="8">
        <f>B138*2</f>
        <v>4555.15</v>
      </c>
      <c r="E138" s="8">
        <f>C138*9%</f>
        <v>2459.78</v>
      </c>
      <c r="F138" s="8">
        <f>(C138+D138)*8.33%</f>
        <v>2656.11</v>
      </c>
      <c r="G138" s="8">
        <f>B138*0.5</f>
        <v>1138.79</v>
      </c>
      <c r="H138" s="8">
        <f>0</f>
        <v>0.0</v>
      </c>
      <c r="I138" s="8">
        <f>B138*14/12</f>
        <v>2657.17</v>
      </c>
      <c r="J138" s="8">
        <f>SUM(D138:I138)</f>
        <v>13466.99</v>
      </c>
      <c r="K138" s="8">
        <f>C138+J138</f>
        <v>40797.88</v>
      </c>
    </row>
    <row r="139" spans="1:11">
      <c r="A139" s="4" t="s">
        <v>122</v>
      </c>
      <c r="B139" s="8">
        <v>1459.98348288</v>
      </c>
      <c r="C139" s="8">
        <f>B139*12</f>
        <v>17519.8</v>
      </c>
      <c r="D139" s="8">
        <f>B139*2</f>
        <v>2919.97</v>
      </c>
      <c r="E139" s="8">
        <f>C139*9%</f>
        <v>1576.78</v>
      </c>
      <c r="F139" s="8">
        <f>(C139+D139)*8.33%</f>
        <v>1702.63</v>
      </c>
      <c r="G139" s="8">
        <f>B139*0.5</f>
        <v>729.99</v>
      </c>
      <c r="H139" s="8">
        <f>0</f>
        <v>0.0</v>
      </c>
      <c r="I139" s="8">
        <f>B139*14/12</f>
        <v>1703.31</v>
      </c>
      <c r="J139" s="8">
        <f>SUM(D139:I139)</f>
        <v>8632.69</v>
      </c>
      <c r="K139" s="8">
        <f>C139+J139</f>
        <v>26152.49</v>
      </c>
    </row>
    <row r="140" spans="1:11">
      <c r="A140" s="4" t="s">
        <v>128</v>
      </c>
      <c r="B140" s="8">
        <v>1406.08</v>
      </c>
      <c r="C140" s="8">
        <f>B140*12</f>
        <v>16872.96</v>
      </c>
      <c r="D140" s="8">
        <f>B140*2</f>
        <v>2812.16</v>
      </c>
      <c r="E140" s="8">
        <f>C140*9%</f>
        <v>1518.57</v>
      </c>
      <c r="F140" s="8">
        <f>(C140+D140)*8.33%</f>
        <v>1639.77</v>
      </c>
      <c r="G140" s="8">
        <f>B140*0.5</f>
        <v>703.04</v>
      </c>
      <c r="H140" s="8">
        <f>0</f>
        <v>0.0</v>
      </c>
      <c r="I140" s="8">
        <f>B140*14/12</f>
        <v>1640.43</v>
      </c>
      <c r="J140" s="8">
        <f>SUM(D140:I140)</f>
        <v>8313.96</v>
      </c>
      <c r="K140" s="8">
        <f>C140+J140</f>
        <v>25186.92</v>
      </c>
    </row>
    <row r="141" spans="1:11">
      <c r="A141" s="4" t="s">
        <v>131</v>
      </c>
      <c r="B141" s="8">
        <v>1500</v>
      </c>
      <c r="C141" s="8">
        <f>B141*12</f>
        <v>18000.0</v>
      </c>
      <c r="D141" s="8">
        <f>B141*2</f>
        <v>3000.0</v>
      </c>
      <c r="E141" s="8">
        <f>C141*9%</f>
        <v>1620.0</v>
      </c>
      <c r="F141" s="8">
        <f>(C141+D141)*8.33%</f>
        <v>1749.3</v>
      </c>
      <c r="G141" s="8">
        <f>B141*0.5</f>
        <v>750.0</v>
      </c>
      <c r="H141" s="8">
        <f>0</f>
        <v>0.0</v>
      </c>
      <c r="I141" s="8">
        <f>B141*14/12</f>
        <v>1750.0</v>
      </c>
      <c r="J141" s="8">
        <f>SUM(D141:I141)</f>
        <v>8869.3</v>
      </c>
      <c r="K141" s="8">
        <f>C141+J141</f>
        <v>26869.3</v>
      </c>
    </row>
    <row r="142" spans="1:11">
      <c r="A142" s="7" t="s">
        <v>115</v>
      </c>
      <c r="K142" s="7">
        <f>SUM(K136:K141)</f>
        <v>208580.62</v>
      </c>
    </row>
    <row r="143" spans="1:11">
      <c r="A143" s="2" t="s">
        <v>116</v>
      </c>
    </row>
    <row r="144" spans="1:11">
      <c r="A144" s="4" t="s">
        <v>117</v>
      </c>
      <c r="B144" s="8">
        <v>2237.084024700928</v>
      </c>
      <c r="C144" s="8">
        <f>B144*12</f>
        <v>26845.01</v>
      </c>
      <c r="D144" s="8">
        <f>B144*2</f>
        <v>4474.17</v>
      </c>
      <c r="E144" s="8">
        <f>C144*9%</f>
        <v>2416.05</v>
      </c>
      <c r="F144" s="8">
        <f>(C144+D144)*8.33%</f>
        <v>2608.89</v>
      </c>
      <c r="G144" s="8">
        <f>B144*0.5</f>
        <v>1118.54</v>
      </c>
      <c r="H144" s="8">
        <f>0</f>
        <v>0.0</v>
      </c>
      <c r="I144" s="8">
        <f>B144*14/12</f>
        <v>2609.93</v>
      </c>
      <c r="J144" s="8">
        <f>SUM(D144:I144)</f>
        <v>13227.58</v>
      </c>
      <c r="K144" s="8">
        <f>C144+J144</f>
        <v>40072.59</v>
      </c>
    </row>
    <row r="145" spans="1:11">
      <c r="A145" s="4" t="s">
        <v>124</v>
      </c>
      <c r="B145" s="8">
        <v>1754.78784</v>
      </c>
      <c r="C145" s="8">
        <f>B145*12</f>
        <v>21057.45</v>
      </c>
      <c r="D145" s="8">
        <f>B145*2</f>
        <v>3509.58</v>
      </c>
      <c r="E145" s="8">
        <f>C145*9%</f>
        <v>1895.17</v>
      </c>
      <c r="F145" s="8">
        <f>(C145+D145)*8.33%</f>
        <v>2046.43</v>
      </c>
      <c r="G145" s="8">
        <f>B145*0.5</f>
        <v>877.39</v>
      </c>
      <c r="H145" s="8">
        <f>0</f>
        <v>0.0</v>
      </c>
      <c r="I145" s="8">
        <f>B145*14/12</f>
        <v>2047.25</v>
      </c>
      <c r="J145" s="8">
        <f>SUM(D145:I145)</f>
        <v>10375.83</v>
      </c>
      <c r="K145" s="8">
        <f>C145+J145</f>
        <v>31433.28</v>
      </c>
    </row>
    <row r="146" spans="1:11">
      <c r="A146" s="4" t="s">
        <v>132</v>
      </c>
      <c r="B146" s="8">
        <v>1300</v>
      </c>
      <c r="C146" s="8">
        <f>B146*12</f>
        <v>15600.0</v>
      </c>
      <c r="D146" s="8">
        <f>B146*2</f>
        <v>2600.0</v>
      </c>
      <c r="E146" s="8">
        <f>C146*9%</f>
        <v>1404.0</v>
      </c>
      <c r="F146" s="8">
        <f>(C146+D146)*8.33%</f>
        <v>1516.06</v>
      </c>
      <c r="G146" s="8">
        <f>B146*0.5</f>
        <v>650.0</v>
      </c>
      <c r="H146" s="8">
        <f>0</f>
        <v>0.0</v>
      </c>
      <c r="I146" s="8">
        <f>B146*14/12</f>
        <v>1516.67</v>
      </c>
      <c r="J146" s="8">
        <f>SUM(D146:I146)</f>
        <v>7686.73</v>
      </c>
      <c r="K146" s="8">
        <f>C146+J146</f>
        <v>23286.73</v>
      </c>
    </row>
    <row r="147" spans="1:11">
      <c r="A147" s="7" t="s">
        <v>118</v>
      </c>
      <c r="K147" s="7">
        <f>SUM(K144:K146)</f>
        <v>94792.6</v>
      </c>
    </row>
    <row r="150" spans="1:11">
      <c r="A150" s="2" t="s">
        <v>133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3" t="s">
        <v>97</v>
      </c>
      <c r="B151" s="3" t="s">
        <v>98</v>
      </c>
      <c r="C151" s="3" t="s">
        <v>99</v>
      </c>
      <c r="D151" s="3" t="s">
        <v>100</v>
      </c>
      <c r="E151" s="3" t="s">
        <v>101</v>
      </c>
      <c r="F151" s="3" t="s">
        <v>102</v>
      </c>
      <c r="G151" s="3" t="s">
        <v>103</v>
      </c>
      <c r="H151" s="3" t="s">
        <v>104</v>
      </c>
      <c r="I151" s="3" t="s">
        <v>105</v>
      </c>
      <c r="J151" s="3" t="s">
        <v>106</v>
      </c>
      <c r="K151" s="3" t="s">
        <v>107</v>
      </c>
    </row>
    <row r="152" spans="1:11">
      <c r="A152" s="2" t="s">
        <v>108</v>
      </c>
    </row>
    <row r="153" spans="1:11">
      <c r="A153" s="4" t="s">
        <v>109</v>
      </c>
      <c r="B153" s="8">
        <v>2832.937934338916</v>
      </c>
      <c r="C153" s="8">
        <f>B153*12</f>
        <v>33995.26</v>
      </c>
      <c r="D153" s="8">
        <f>B153*2</f>
        <v>5665.88</v>
      </c>
      <c r="E153" s="8">
        <f>C153*9%</f>
        <v>3059.57</v>
      </c>
      <c r="F153" s="8">
        <f>(C153+D153)*8.33%</f>
        <v>3303.77</v>
      </c>
      <c r="G153" s="8">
        <f>B153*0.5</f>
        <v>1416.47</v>
      </c>
      <c r="H153" s="8">
        <f>0</f>
        <v>0.0</v>
      </c>
      <c r="I153" s="8">
        <f>B153*14/12</f>
        <v>3305.09</v>
      </c>
      <c r="J153" s="8">
        <f>SUM(D153:I153)</f>
        <v>16750.78</v>
      </c>
      <c r="K153" s="8">
        <f>C153+J153</f>
        <v>50746.04</v>
      </c>
    </row>
    <row r="154" spans="1:11">
      <c r="A154" s="4" t="s">
        <v>110</v>
      </c>
      <c r="B154" s="8">
        <v>1416.468967169458</v>
      </c>
      <c r="C154" s="8">
        <f>B154*12</f>
        <v>16997.63</v>
      </c>
      <c r="D154" s="8">
        <f>B154*2</f>
        <v>2832.94</v>
      </c>
      <c r="E154" s="8">
        <f>C154*9%</f>
        <v>1529.79</v>
      </c>
      <c r="F154" s="8">
        <f>(C154+D154)*8.33%</f>
        <v>1651.89</v>
      </c>
      <c r="G154" s="8">
        <f>B154*0.5</f>
        <v>708.23</v>
      </c>
      <c r="H154" s="8">
        <f>0</f>
        <v>0.0</v>
      </c>
      <c r="I154" s="8">
        <f>B154*14/12</f>
        <v>1652.55</v>
      </c>
      <c r="J154" s="8">
        <f>SUM(D154:I154)</f>
        <v>8375.39</v>
      </c>
      <c r="K154" s="8">
        <f>C154+J154</f>
        <v>25373.02</v>
      </c>
    </row>
    <row r="155" spans="1:11">
      <c r="A155" s="4" t="s">
        <v>126</v>
      </c>
      <c r="B155" s="8">
        <v>1614.4048128</v>
      </c>
      <c r="C155" s="8">
        <f>B155*12</f>
        <v>19372.86</v>
      </c>
      <c r="D155" s="8">
        <f>B155*2</f>
        <v>3228.81</v>
      </c>
      <c r="E155" s="8">
        <f>C155*9%</f>
        <v>1743.56</v>
      </c>
      <c r="F155" s="8">
        <f>(C155+D155)*8.33%</f>
        <v>1882.72</v>
      </c>
      <c r="G155" s="8">
        <f>B155*0.5</f>
        <v>807.2</v>
      </c>
      <c r="H155" s="8">
        <f>0</f>
        <v>0.0</v>
      </c>
      <c r="I155" s="8">
        <f>B155*14/12</f>
        <v>1883.47</v>
      </c>
      <c r="J155" s="8">
        <f>SUM(D155:I155)</f>
        <v>9545.76</v>
      </c>
      <c r="K155" s="8">
        <f>C155+J155</f>
        <v>28918.62</v>
      </c>
    </row>
    <row r="156" spans="1:11">
      <c r="A156" s="7" t="s">
        <v>111</v>
      </c>
      <c r="K156" s="7">
        <f>SUM(K153:K155)</f>
        <v>105037.68</v>
      </c>
    </row>
    <row r="157" spans="1:11">
      <c r="A157" s="2" t="s">
        <v>112</v>
      </c>
    </row>
    <row r="158" spans="1:11">
      <c r="A158" s="4" t="s">
        <v>113</v>
      </c>
      <c r="B158" s="8">
        <v>3421.422626013185</v>
      </c>
      <c r="C158" s="8">
        <f>B158*12</f>
        <v>41057.07</v>
      </c>
      <c r="D158" s="8">
        <f>B158*2</f>
        <v>6842.85</v>
      </c>
      <c r="E158" s="8">
        <f>C158*9%</f>
        <v>3695.14</v>
      </c>
      <c r="F158" s="8">
        <f>(C158+D158)*8.33%</f>
        <v>3990.06</v>
      </c>
      <c r="G158" s="8">
        <f>B158*0.5</f>
        <v>1710.71</v>
      </c>
      <c r="H158" s="8">
        <f>0</f>
        <v>0.0</v>
      </c>
      <c r="I158" s="8">
        <f>B158*14/12</f>
        <v>3991.66</v>
      </c>
      <c r="J158" s="8">
        <f>SUM(D158:I158)</f>
        <v>20230.42</v>
      </c>
      <c r="K158" s="8">
        <f>C158+J158</f>
        <v>61287.49</v>
      </c>
    </row>
    <row r="159" spans="1:11">
      <c r="A159" s="4" t="s">
        <v>114</v>
      </c>
      <c r="B159" s="8">
        <v>1779.139765526856</v>
      </c>
      <c r="C159" s="8">
        <f>B159*12</f>
        <v>21349.68</v>
      </c>
      <c r="D159" s="8">
        <f>B159*2</f>
        <v>3558.28</v>
      </c>
      <c r="E159" s="8">
        <f>C159*9%</f>
        <v>1921.47</v>
      </c>
      <c r="F159" s="8">
        <f>(C159+D159)*8.33%</f>
        <v>2074.83</v>
      </c>
      <c r="G159" s="8">
        <f>B159*0.5</f>
        <v>889.57</v>
      </c>
      <c r="H159" s="8">
        <f>0</f>
        <v>0.0</v>
      </c>
      <c r="I159" s="8">
        <f>B159*14/12</f>
        <v>2075.66</v>
      </c>
      <c r="J159" s="8">
        <f>SUM(D159:I159)</f>
        <v>10519.82</v>
      </c>
      <c r="K159" s="8">
        <f>C159+J159</f>
        <v>31869.49</v>
      </c>
    </row>
    <row r="160" spans="1:11">
      <c r="A160" s="4" t="s">
        <v>120</v>
      </c>
      <c r="B160" s="8">
        <v>2368.677202624513</v>
      </c>
      <c r="C160" s="8">
        <f>B160*12</f>
        <v>28424.13</v>
      </c>
      <c r="D160" s="8">
        <f>B160*2</f>
        <v>4737.35</v>
      </c>
      <c r="E160" s="8">
        <f>C160*9%</f>
        <v>2558.17</v>
      </c>
      <c r="F160" s="8">
        <f>(C160+D160)*8.33%</f>
        <v>2762.35</v>
      </c>
      <c r="G160" s="8">
        <f>B160*0.5</f>
        <v>1184.34</v>
      </c>
      <c r="H160" s="8">
        <f>0</f>
        <v>0.0</v>
      </c>
      <c r="I160" s="8">
        <f>B160*14/12</f>
        <v>2763.46</v>
      </c>
      <c r="J160" s="8">
        <f>SUM(D160:I160)</f>
        <v>14005.67</v>
      </c>
      <c r="K160" s="8">
        <f>C160+J160</f>
        <v>42429.8</v>
      </c>
    </row>
    <row r="161" spans="1:11">
      <c r="A161" s="4" t="s">
        <v>122</v>
      </c>
      <c r="B161" s="8">
        <v>1518.3828221952</v>
      </c>
      <c r="C161" s="8">
        <f>B161*12</f>
        <v>18220.59</v>
      </c>
      <c r="D161" s="8">
        <f>B161*2</f>
        <v>3036.77</v>
      </c>
      <c r="E161" s="8">
        <f>C161*9%</f>
        <v>1639.85</v>
      </c>
      <c r="F161" s="8">
        <f>(C161+D161)*8.33%</f>
        <v>1770.74</v>
      </c>
      <c r="G161" s="8">
        <f>B161*0.5</f>
        <v>759.19</v>
      </c>
      <c r="H161" s="8">
        <f>0</f>
        <v>0.0</v>
      </c>
      <c r="I161" s="8">
        <f>B161*14/12</f>
        <v>1771.45</v>
      </c>
      <c r="J161" s="8">
        <f>SUM(D161:I161)</f>
        <v>8978.0</v>
      </c>
      <c r="K161" s="8">
        <f>C161+J161</f>
        <v>27198.59</v>
      </c>
    </row>
    <row r="162" spans="1:11">
      <c r="A162" s="4" t="s">
        <v>128</v>
      </c>
      <c r="B162" s="8">
        <v>1462.3232</v>
      </c>
      <c r="C162" s="8">
        <f>B162*12</f>
        <v>17547.88</v>
      </c>
      <c r="D162" s="8">
        <f>B162*2</f>
        <v>2924.65</v>
      </c>
      <c r="E162" s="8">
        <f>C162*9%</f>
        <v>1579.31</v>
      </c>
      <c r="F162" s="8">
        <f>(C162+D162)*8.33%</f>
        <v>1705.36</v>
      </c>
      <c r="G162" s="8">
        <f>B162*0.5</f>
        <v>731.16</v>
      </c>
      <c r="H162" s="8">
        <f>0</f>
        <v>0.0</v>
      </c>
      <c r="I162" s="8">
        <f>B162*14/12</f>
        <v>1706.04</v>
      </c>
      <c r="J162" s="8">
        <f>SUM(D162:I162)</f>
        <v>8646.52</v>
      </c>
      <c r="K162" s="8">
        <f>C162+J162</f>
        <v>26194.4</v>
      </c>
    </row>
    <row r="163" spans="1:11">
      <c r="A163" s="4" t="s">
        <v>131</v>
      </c>
      <c r="B163" s="8">
        <v>1560</v>
      </c>
      <c r="C163" s="8">
        <f>B163*12</f>
        <v>18720.0</v>
      </c>
      <c r="D163" s="8">
        <f>B163*2</f>
        <v>3120.0</v>
      </c>
      <c r="E163" s="8">
        <f>C163*9%</f>
        <v>1684.8</v>
      </c>
      <c r="F163" s="8">
        <f>(C163+D163)*8.33%</f>
        <v>1819.27</v>
      </c>
      <c r="G163" s="8">
        <f>B163*0.5</f>
        <v>780.0</v>
      </c>
      <c r="H163" s="8">
        <f>0</f>
        <v>0.0</v>
      </c>
      <c r="I163" s="8">
        <f>B163*14/12</f>
        <v>1820.0</v>
      </c>
      <c r="J163" s="8">
        <f>SUM(D163:I163)</f>
        <v>9224.07</v>
      </c>
      <c r="K163" s="8">
        <f>C163+J163</f>
        <v>27944.07</v>
      </c>
    </row>
    <row r="164" spans="1:11">
      <c r="A164" s="7" t="s">
        <v>115</v>
      </c>
      <c r="K164" s="7">
        <f>SUM(K158:K163)</f>
        <v>216923.84</v>
      </c>
    </row>
    <row r="165" spans="1:11">
      <c r="A165" s="2" t="s">
        <v>116</v>
      </c>
    </row>
    <row r="166" spans="1:11">
      <c r="A166" s="4" t="s">
        <v>117</v>
      </c>
      <c r="B166" s="8">
        <v>2326.567385688966</v>
      </c>
      <c r="C166" s="8">
        <f>B166*12</f>
        <v>27918.81</v>
      </c>
      <c r="D166" s="8">
        <f>B166*2</f>
        <v>4653.13</v>
      </c>
      <c r="E166" s="8">
        <f>C166*9%</f>
        <v>2512.69</v>
      </c>
      <c r="F166" s="8">
        <f>(C166+D166)*8.33%</f>
        <v>2713.24</v>
      </c>
      <c r="G166" s="8">
        <f>B166*0.5</f>
        <v>1163.28</v>
      </c>
      <c r="H166" s="8">
        <f>0</f>
        <v>0.0</v>
      </c>
      <c r="I166" s="8">
        <f>B166*14/12</f>
        <v>2714.33</v>
      </c>
      <c r="J166" s="8">
        <f>SUM(D166:I166)</f>
        <v>13756.68</v>
      </c>
      <c r="K166" s="8">
        <f>C166+J166</f>
        <v>41675.49</v>
      </c>
    </row>
    <row r="167" spans="1:11">
      <c r="A167" s="4" t="s">
        <v>124</v>
      </c>
      <c r="B167" s="8">
        <v>1824.9793536</v>
      </c>
      <c r="C167" s="8">
        <f>B167*12</f>
        <v>21899.75</v>
      </c>
      <c r="D167" s="8">
        <f>B167*2</f>
        <v>3649.96</v>
      </c>
      <c r="E167" s="8">
        <f>C167*9%</f>
        <v>1970.98</v>
      </c>
      <c r="F167" s="8">
        <f>(C167+D167)*8.33%</f>
        <v>2128.29</v>
      </c>
      <c r="G167" s="8">
        <f>B167*0.5</f>
        <v>912.49</v>
      </c>
      <c r="H167" s="8">
        <f>0</f>
        <v>0.0</v>
      </c>
      <c r="I167" s="8">
        <f>B167*14/12</f>
        <v>2129.14</v>
      </c>
      <c r="J167" s="8">
        <f>SUM(D167:I167)</f>
        <v>10790.86</v>
      </c>
      <c r="K167" s="8">
        <f>C167+J167</f>
        <v>32690.61</v>
      </c>
    </row>
    <row r="168" spans="1:11">
      <c r="A168" s="4" t="s">
        <v>132</v>
      </c>
      <c r="B168" s="8">
        <v>1352</v>
      </c>
      <c r="C168" s="8">
        <f>B168*12</f>
        <v>16224.0</v>
      </c>
      <c r="D168" s="8">
        <f>B168*2</f>
        <v>2704.0</v>
      </c>
      <c r="E168" s="8">
        <f>C168*9%</f>
        <v>1460.16</v>
      </c>
      <c r="F168" s="8">
        <f>(C168+D168)*8.33%</f>
        <v>1576.7</v>
      </c>
      <c r="G168" s="8">
        <f>B168*0.5</f>
        <v>676.0</v>
      </c>
      <c r="H168" s="8">
        <f>0</f>
        <v>0.0</v>
      </c>
      <c r="I168" s="8">
        <f>B168*14/12</f>
        <v>1577.33</v>
      </c>
      <c r="J168" s="8">
        <f>SUM(D168:I168)</f>
        <v>7994.2</v>
      </c>
      <c r="K168" s="8">
        <f>C168+J168</f>
        <v>24218.2</v>
      </c>
    </row>
    <row r="169" spans="1:11">
      <c r="A169" s="7" t="s">
        <v>118</v>
      </c>
      <c r="K169" s="7">
        <f>SUM(K166:K168)</f>
        <v>98584.3</v>
      </c>
    </row>
    <row r="172" spans="1:11">
      <c r="A172" s="2" t="s">
        <v>134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3" t="s">
        <v>97</v>
      </c>
      <c r="B173" s="3" t="s">
        <v>98</v>
      </c>
      <c r="C173" s="3" t="s">
        <v>99</v>
      </c>
      <c r="D173" s="3" t="s">
        <v>100</v>
      </c>
      <c r="E173" s="3" t="s">
        <v>101</v>
      </c>
      <c r="F173" s="3" t="s">
        <v>102</v>
      </c>
      <c r="G173" s="3" t="s">
        <v>103</v>
      </c>
      <c r="H173" s="3" t="s">
        <v>104</v>
      </c>
      <c r="I173" s="3" t="s">
        <v>105</v>
      </c>
      <c r="J173" s="3" t="s">
        <v>106</v>
      </c>
      <c r="K173" s="3" t="s">
        <v>107</v>
      </c>
    </row>
    <row r="174" spans="1:11">
      <c r="A174" s="2" t="s">
        <v>108</v>
      </c>
    </row>
    <row r="175" spans="1:11">
      <c r="A175" s="4" t="s">
        <v>109</v>
      </c>
      <c r="B175" s="8">
        <v>2946.255451712474</v>
      </c>
      <c r="C175" s="8">
        <f>B175*12</f>
        <v>35355.07</v>
      </c>
      <c r="D175" s="8">
        <f>B175*2</f>
        <v>5892.51</v>
      </c>
      <c r="E175" s="8">
        <f>C175*9%</f>
        <v>3181.96</v>
      </c>
      <c r="F175" s="8">
        <f>(C175+D175)*8.33%</f>
        <v>3435.92</v>
      </c>
      <c r="G175" s="8">
        <f>B175*0.5</f>
        <v>1473.13</v>
      </c>
      <c r="H175" s="8">
        <f>0</f>
        <v>0.0</v>
      </c>
      <c r="I175" s="8">
        <f>B175*14/12</f>
        <v>3437.3</v>
      </c>
      <c r="J175" s="8">
        <f>SUM(D175:I175)</f>
        <v>17420.82</v>
      </c>
      <c r="K175" s="8">
        <f>C175+J175</f>
        <v>52775.88</v>
      </c>
    </row>
    <row r="176" spans="1:11">
      <c r="A176" s="4" t="s">
        <v>110</v>
      </c>
      <c r="B176" s="8">
        <v>1473.127725856237</v>
      </c>
      <c r="C176" s="8">
        <f>B176*12</f>
        <v>17677.53</v>
      </c>
      <c r="D176" s="8">
        <f>B176*2</f>
        <v>2946.26</v>
      </c>
      <c r="E176" s="8">
        <f>C176*9%</f>
        <v>1590.98</v>
      </c>
      <c r="F176" s="8">
        <f>(C176+D176)*8.33%</f>
        <v>1717.96</v>
      </c>
      <c r="G176" s="8">
        <f>B176*0.5</f>
        <v>736.56</v>
      </c>
      <c r="H176" s="8">
        <f>0</f>
        <v>0.0</v>
      </c>
      <c r="I176" s="8">
        <f>B176*14/12</f>
        <v>1718.65</v>
      </c>
      <c r="J176" s="8">
        <f>SUM(D176:I176)</f>
        <v>8710.41</v>
      </c>
      <c r="K176" s="8">
        <f>C176+J176</f>
        <v>26387.94</v>
      </c>
    </row>
    <row r="177" spans="1:11">
      <c r="A177" s="4" t="s">
        <v>126</v>
      </c>
      <c r="B177" s="8">
        <v>1678.981005312</v>
      </c>
      <c r="C177" s="8">
        <f>B177*12</f>
        <v>20147.77</v>
      </c>
      <c r="D177" s="8">
        <f>B177*2</f>
        <v>3357.96</v>
      </c>
      <c r="E177" s="8">
        <f>C177*9%</f>
        <v>1813.3</v>
      </c>
      <c r="F177" s="8">
        <f>(C177+D177)*8.33%</f>
        <v>1958.03</v>
      </c>
      <c r="G177" s="8">
        <f>B177*0.5</f>
        <v>839.49</v>
      </c>
      <c r="H177" s="8">
        <f>0</f>
        <v>0.0</v>
      </c>
      <c r="I177" s="8">
        <f>B177*14/12</f>
        <v>1958.81</v>
      </c>
      <c r="J177" s="8">
        <f>SUM(D177:I177)</f>
        <v>9927.59</v>
      </c>
      <c r="K177" s="8">
        <f>C177+J177</f>
        <v>30075.36</v>
      </c>
    </row>
    <row r="178" spans="1:11">
      <c r="A178" s="7" t="s">
        <v>111</v>
      </c>
      <c r="K178" s="7">
        <f>SUM(K175:K177)</f>
        <v>109239.18</v>
      </c>
    </row>
    <row r="179" spans="1:11">
      <c r="A179" s="2" t="s">
        <v>112</v>
      </c>
    </row>
    <row r="180" spans="1:11">
      <c r="A180" s="4" t="s">
        <v>113</v>
      </c>
      <c r="B180" s="8">
        <v>3558.279531053713</v>
      </c>
      <c r="C180" s="8">
        <f>B180*12</f>
        <v>42699.35</v>
      </c>
      <c r="D180" s="8">
        <f>B180*2</f>
        <v>7116.56</v>
      </c>
      <c r="E180" s="8">
        <f>C180*9%</f>
        <v>3842.94</v>
      </c>
      <c r="F180" s="8">
        <f>(C180+D180)*8.33%</f>
        <v>4149.67</v>
      </c>
      <c r="G180" s="8">
        <f>B180*0.5</f>
        <v>1779.14</v>
      </c>
      <c r="H180" s="8">
        <f>0</f>
        <v>0.0</v>
      </c>
      <c r="I180" s="8">
        <f>B180*14/12</f>
        <v>4151.33</v>
      </c>
      <c r="J180" s="8">
        <f>SUM(D180:I180)</f>
        <v>21039.63</v>
      </c>
      <c r="K180" s="8">
        <f>C180+J180</f>
        <v>63738.99</v>
      </c>
    </row>
    <row r="181" spans="1:11">
      <c r="A181" s="4" t="s">
        <v>114</v>
      </c>
      <c r="B181" s="8">
        <v>1850.305356147931</v>
      </c>
      <c r="C181" s="8">
        <f>B181*12</f>
        <v>22203.66</v>
      </c>
      <c r="D181" s="8">
        <f>B181*2</f>
        <v>3700.61</v>
      </c>
      <c r="E181" s="8">
        <f>C181*9%</f>
        <v>1998.33</v>
      </c>
      <c r="F181" s="8">
        <f>(C181+D181)*8.33%</f>
        <v>2157.83</v>
      </c>
      <c r="G181" s="8">
        <f>B181*0.5</f>
        <v>925.15</v>
      </c>
      <c r="H181" s="8">
        <f>0</f>
        <v>0.0</v>
      </c>
      <c r="I181" s="8">
        <f>B181*14/12</f>
        <v>2158.69</v>
      </c>
      <c r="J181" s="8">
        <f>SUM(D181:I181)</f>
        <v>10940.61</v>
      </c>
      <c r="K181" s="8">
        <f>C181+J181</f>
        <v>33144.27</v>
      </c>
    </row>
    <row r="182" spans="1:11">
      <c r="A182" s="4" t="s">
        <v>120</v>
      </c>
      <c r="B182" s="8">
        <v>2463.424290729493</v>
      </c>
      <c r="C182" s="8">
        <f>B182*12</f>
        <v>29561.09</v>
      </c>
      <c r="D182" s="8">
        <f>B182*2</f>
        <v>4926.85</v>
      </c>
      <c r="E182" s="8">
        <f>C182*9%</f>
        <v>2660.5</v>
      </c>
      <c r="F182" s="8">
        <f>(C182+D182)*8.33%</f>
        <v>2872.85</v>
      </c>
      <c r="G182" s="8">
        <f>B182*0.5</f>
        <v>1231.71</v>
      </c>
      <c r="H182" s="8">
        <f>0</f>
        <v>0.0</v>
      </c>
      <c r="I182" s="8">
        <f>B182*14/12</f>
        <v>2874.0</v>
      </c>
      <c r="J182" s="8">
        <f>SUM(D182:I182)</f>
        <v>14565.9</v>
      </c>
      <c r="K182" s="8">
        <f>C182+J182</f>
        <v>44126.99</v>
      </c>
    </row>
    <row r="183" spans="1:11">
      <c r="A183" s="4" t="s">
        <v>122</v>
      </c>
      <c r="B183" s="8">
        <v>1579.118135083008</v>
      </c>
      <c r="C183" s="8">
        <f>B183*12</f>
        <v>18949.42</v>
      </c>
      <c r="D183" s="8">
        <f>B183*2</f>
        <v>3158.24</v>
      </c>
      <c r="E183" s="8">
        <f>C183*9%</f>
        <v>1705.45</v>
      </c>
      <c r="F183" s="8">
        <f>(C183+D183)*8.33%</f>
        <v>1841.57</v>
      </c>
      <c r="G183" s="8">
        <f>B183*0.5</f>
        <v>789.56</v>
      </c>
      <c r="H183" s="8">
        <f>0</f>
        <v>0.0</v>
      </c>
      <c r="I183" s="8">
        <f>B183*14/12</f>
        <v>1842.3</v>
      </c>
      <c r="J183" s="8">
        <f>SUM(D183:I183)</f>
        <v>9337.11</v>
      </c>
      <c r="K183" s="8">
        <f>C183+J183</f>
        <v>28286.53</v>
      </c>
    </row>
    <row r="184" spans="1:11">
      <c r="A184" s="4" t="s">
        <v>128</v>
      </c>
      <c r="B184" s="8">
        <v>1520.816128</v>
      </c>
      <c r="C184" s="8">
        <f>B184*12</f>
        <v>18249.79</v>
      </c>
      <c r="D184" s="8">
        <f>B184*2</f>
        <v>3041.63</v>
      </c>
      <c r="E184" s="8">
        <f>C184*9%</f>
        <v>1642.48</v>
      </c>
      <c r="F184" s="8">
        <f>(C184+D184)*8.33%</f>
        <v>1773.58</v>
      </c>
      <c r="G184" s="8">
        <f>B184*0.5</f>
        <v>760.41</v>
      </c>
      <c r="H184" s="8">
        <f>0</f>
        <v>0.0</v>
      </c>
      <c r="I184" s="8">
        <f>B184*14/12</f>
        <v>1774.29</v>
      </c>
      <c r="J184" s="8">
        <f>SUM(D184:I184)</f>
        <v>8992.38</v>
      </c>
      <c r="K184" s="8">
        <f>C184+J184</f>
        <v>27242.18</v>
      </c>
    </row>
    <row r="185" spans="1:11">
      <c r="A185" s="4" t="s">
        <v>131</v>
      </c>
      <c r="B185" s="8">
        <v>1622.4</v>
      </c>
      <c r="C185" s="8">
        <f>B185*12</f>
        <v>19468.8</v>
      </c>
      <c r="D185" s="8">
        <f>B185*2</f>
        <v>3244.8</v>
      </c>
      <c r="E185" s="8">
        <f>C185*9%</f>
        <v>1752.19</v>
      </c>
      <c r="F185" s="8">
        <f>(C185+D185)*8.33%</f>
        <v>1892.04</v>
      </c>
      <c r="G185" s="8">
        <f>B185*0.5</f>
        <v>811.2</v>
      </c>
      <c r="H185" s="8">
        <f>0</f>
        <v>0.0</v>
      </c>
      <c r="I185" s="8">
        <f>B185*14/12</f>
        <v>1892.8</v>
      </c>
      <c r="J185" s="8">
        <f>SUM(D185:I185)</f>
        <v>9593.03</v>
      </c>
      <c r="K185" s="8">
        <f>C185+J185</f>
        <v>29061.83</v>
      </c>
    </row>
    <row r="186" spans="1:11">
      <c r="A186" s="7" t="s">
        <v>115</v>
      </c>
      <c r="K186" s="7">
        <f>SUM(K180:K185)</f>
        <v>225600.79</v>
      </c>
    </row>
    <row r="187" spans="1:11">
      <c r="A187" s="2" t="s">
        <v>116</v>
      </c>
    </row>
    <row r="188" spans="1:11">
      <c r="A188" s="4" t="s">
        <v>117</v>
      </c>
      <c r="B188" s="8">
        <v>2419.630081116524</v>
      </c>
      <c r="C188" s="8">
        <f>B188*12</f>
        <v>29035.56</v>
      </c>
      <c r="D188" s="8">
        <f>B188*2</f>
        <v>4839.26</v>
      </c>
      <c r="E188" s="8">
        <f>C188*9%</f>
        <v>2613.2</v>
      </c>
      <c r="F188" s="8">
        <f>(C188+D188)*8.33%</f>
        <v>2821.77</v>
      </c>
      <c r="G188" s="8">
        <f>B188*0.5</f>
        <v>1209.82</v>
      </c>
      <c r="H188" s="8">
        <f>0</f>
        <v>0.0</v>
      </c>
      <c r="I188" s="8">
        <f>B188*14/12</f>
        <v>2822.9</v>
      </c>
      <c r="J188" s="8">
        <f>SUM(D188:I188)</f>
        <v>14306.95</v>
      </c>
      <c r="K188" s="8">
        <f>C188+J188</f>
        <v>43342.51</v>
      </c>
    </row>
    <row r="189" spans="1:11">
      <c r="A189" s="4" t="s">
        <v>124</v>
      </c>
      <c r="B189" s="8">
        <v>1897.978527744001</v>
      </c>
      <c r="C189" s="8">
        <f>B189*12</f>
        <v>22775.74</v>
      </c>
      <c r="D189" s="8">
        <f>B189*2</f>
        <v>3795.96</v>
      </c>
      <c r="E189" s="8">
        <f>C189*9%</f>
        <v>2049.82</v>
      </c>
      <c r="F189" s="8">
        <f>(C189+D189)*8.33%</f>
        <v>2213.42</v>
      </c>
      <c r="G189" s="8">
        <f>B189*0.5</f>
        <v>948.99</v>
      </c>
      <c r="H189" s="8">
        <f>0</f>
        <v>0.0</v>
      </c>
      <c r="I189" s="8">
        <f>B189*14/12</f>
        <v>2214.31</v>
      </c>
      <c r="J189" s="8">
        <f>SUM(D189:I189)</f>
        <v>11222.49</v>
      </c>
      <c r="K189" s="8">
        <f>C189+J189</f>
        <v>33998.24</v>
      </c>
    </row>
    <row r="190" spans="1:11">
      <c r="A190" s="4" t="s">
        <v>132</v>
      </c>
      <c r="B190" s="8">
        <v>1406.08</v>
      </c>
      <c r="C190" s="8">
        <f>B190*12</f>
        <v>16872.96</v>
      </c>
      <c r="D190" s="8">
        <f>B190*2</f>
        <v>2812.16</v>
      </c>
      <c r="E190" s="8">
        <f>C190*9%</f>
        <v>1518.57</v>
      </c>
      <c r="F190" s="8">
        <f>(C190+D190)*8.33%</f>
        <v>1639.77</v>
      </c>
      <c r="G190" s="8">
        <f>B190*0.5</f>
        <v>703.04</v>
      </c>
      <c r="H190" s="8">
        <f>0</f>
        <v>0.0</v>
      </c>
      <c r="I190" s="8">
        <f>B190*14/12</f>
        <v>1640.43</v>
      </c>
      <c r="J190" s="8">
        <f>SUM(D190:I190)</f>
        <v>8313.96</v>
      </c>
      <c r="K190" s="8">
        <f>C190+J190</f>
        <v>25186.92</v>
      </c>
    </row>
    <row r="191" spans="1:11">
      <c r="A191" s="7" t="s">
        <v>118</v>
      </c>
      <c r="K191" s="7">
        <f>SUM(K188:K190)</f>
        <v>102527.67</v>
      </c>
    </row>
    <row r="393" spans="1:11">
      <c r="A393" s="2" t="s">
        <v>343</v>
      </c>
    </row>
    <row r="394" spans="1:11">
      <c r="A394" s="3" t="s">
        <v>2</v>
      </c>
      <c r="B394" s="3" t="s">
        <v>3</v>
      </c>
      <c r="C394" s="3" t="s">
        <v>4</v>
      </c>
      <c r="D394" s="3" t="s">
        <v>5</v>
      </c>
      <c r="E394" s="3" t="s">
        <v>6</v>
      </c>
      <c r="F394" s="3" t="s">
        <v>7</v>
      </c>
      <c r="G394" s="3" t="s">
        <v>8</v>
      </c>
      <c r="H394" s="3" t="s">
        <v>9</v>
      </c>
      <c r="I394" s="3" t="s">
        <v>10</v>
      </c>
      <c r="J394" s="3" t="s">
        <v>11</v>
      </c>
      <c r="K394" s="3" t="s">
        <v>12</v>
      </c>
    </row>
    <row r="395" spans="1:11">
      <c r="A395" s="4" t="s">
        <v>344</v>
      </c>
      <c r="B395" s="8">
        <v>20492.46</v>
      </c>
      <c r="C395" s="8">
        <v>-145132.4</v>
      </c>
      <c r="D395" s="8">
        <v>-58362.04</v>
      </c>
      <c r="E395" s="8">
        <v>-18960.16</v>
      </c>
      <c r="F395" s="8">
        <v>63054.2</v>
      </c>
      <c r="G395" s="8">
        <v>242397.13</v>
      </c>
      <c r="H395" s="8">
        <v>361981.62</v>
      </c>
      <c r="I395" s="8">
        <v>311884.39</v>
      </c>
      <c r="J395" s="8">
        <v>706506.63</v>
      </c>
      <c r="K395" s="8">
        <v>654462.27</v>
      </c>
    </row>
    <row r="396" spans="1:11">
      <c r="A396" s="4" t="s">
        <v>345</v>
      </c>
      <c r="B396" s="8">
        <v>10837.75</v>
      </c>
      <c r="C396" s="8">
        <v>-152656.03</v>
      </c>
      <c r="D396" s="8">
        <v>-68804.57000000001</v>
      </c>
      <c r="E396" s="8">
        <v>-29820.4</v>
      </c>
      <c r="F396" s="8">
        <v>48535.24</v>
      </c>
      <c r="G396" s="8">
        <v>231580.5</v>
      </c>
      <c r="H396" s="8">
        <v>350732.32</v>
      </c>
      <c r="I396" s="8">
        <v>300185.12</v>
      </c>
      <c r="J396" s="8">
        <v>694339.39</v>
      </c>
      <c r="K396" s="8">
        <v>647019.39</v>
      </c>
    </row>
    <row r="397" spans="1:11">
      <c r="A397" s="4" t="s">
        <v>346</v>
      </c>
      <c r="B397" s="8">
        <v>-9654.709999999999</v>
      </c>
      <c r="C397" s="8">
        <v>-7523.64</v>
      </c>
      <c r="D397" s="8">
        <v>-10442.54</v>
      </c>
      <c r="E397" s="8">
        <v>-10860.24</v>
      </c>
      <c r="F397" s="8">
        <v>-14518.96</v>
      </c>
      <c r="G397" s="8">
        <v>-10816.63</v>
      </c>
      <c r="H397" s="8">
        <v>-11249.29</v>
      </c>
      <c r="I397" s="8">
        <v>-11699.26</v>
      </c>
      <c r="J397" s="8">
        <v>-12167.23</v>
      </c>
      <c r="K397" s="8">
        <v>-7442.88</v>
      </c>
    </row>
    <row r="399" spans="1:11">
      <c r="A399" s="12" t="s">
        <v>347</v>
      </c>
    </row>
  </sheetData>
  <mergeCells count="11">
    <mergeCell ref="A1:L1"/>
    <mergeCell ref="A3:K3"/>
    <mergeCell ref="A18:K18"/>
    <mergeCell ref="A34:K34"/>
    <mergeCell ref="A51:K51"/>
    <mergeCell ref="A69:K69"/>
    <mergeCell ref="A88:K88"/>
    <mergeCell ref="A108:K108"/>
    <mergeCell ref="A128:K128"/>
    <mergeCell ref="A150:K150"/>
    <mergeCell ref="A172:K17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1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348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299</v>
      </c>
      <c r="B4" s="3" t="s">
        <v>300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>
      <c r="A5" s="4" t="s">
        <v>301</v>
      </c>
      <c r="B5" s="8">
        <v>300000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</row>
    <row r="6" spans="1:12">
      <c r="A6" s="4" t="s">
        <v>302</v>
      </c>
      <c r="B6" s="8">
        <v>0</v>
      </c>
      <c r="C6" s="8">
        <v>406832.0256000001</v>
      </c>
      <c r="D6" s="8">
        <v>225830.406144</v>
      </c>
      <c r="E6" s="8">
        <v>439003.17769728</v>
      </c>
      <c r="F6" s="8">
        <v>559901.3433667584</v>
      </c>
      <c r="G6" s="8">
        <v>742452.9566277737</v>
      </c>
      <c r="H6" s="8">
        <v>1118532.476937475</v>
      </c>
      <c r="I6" s="8">
        <v>1449633.544463577</v>
      </c>
      <c r="J6" s="8">
        <v>1565017.692253033</v>
      </c>
      <c r="K6" s="8">
        <v>2137416.36496067</v>
      </c>
      <c r="L6" s="8">
        <v>2365119.407298549</v>
      </c>
    </row>
    <row r="7" spans="1:12">
      <c r="A7" s="4" t="s">
        <v>303</v>
      </c>
      <c r="B7" s="8">
        <v>0</v>
      </c>
      <c r="C7" s="8">
        <v>354828.4765426667</v>
      </c>
      <c r="D7" s="8">
        <v>367995.0249501067</v>
      </c>
      <c r="E7" s="8">
        <v>464711.0067147173</v>
      </c>
      <c r="F7" s="8">
        <v>535712.857059684</v>
      </c>
      <c r="G7" s="8">
        <v>621575.9834050897</v>
      </c>
      <c r="H7" s="8">
        <v>800774.1751027505</v>
      </c>
      <c r="I7" s="8">
        <v>992005.3483926554</v>
      </c>
      <c r="J7" s="8">
        <v>1156698.583850204</v>
      </c>
      <c r="K7" s="8">
        <v>1283364.74350721</v>
      </c>
      <c r="L7" s="8">
        <v>1496824.868712143</v>
      </c>
    </row>
    <row r="8" spans="1:12">
      <c r="A8" s="4" t="s">
        <v>234</v>
      </c>
      <c r="B8" s="8">
        <f>B6-B7</f>
        <v>0.0</v>
      </c>
      <c r="C8" s="8">
        <f>C6-C7</f>
        <v>52003.55</v>
      </c>
      <c r="D8" s="8">
        <f>D6-D7</f>
        <v>-142164.62</v>
      </c>
      <c r="E8" s="8">
        <f>E6-E7</f>
        <v>-25707.83</v>
      </c>
      <c r="F8" s="8">
        <f>F6-F7</f>
        <v>24188.49</v>
      </c>
      <c r="G8" s="8">
        <f>G6-G7</f>
        <v>120876.97</v>
      </c>
      <c r="H8" s="8">
        <f>H6-H7</f>
        <v>317758.3</v>
      </c>
      <c r="I8" s="8">
        <f>I6-I7</f>
        <v>457628.2</v>
      </c>
      <c r="J8" s="8">
        <f>J6-J7</f>
        <v>408319.11</v>
      </c>
      <c r="K8" s="8">
        <f>K6-K7</f>
        <v>854051.62</v>
      </c>
      <c r="L8" s="8">
        <f>L6-L7</f>
        <v>868294.54</v>
      </c>
    </row>
    <row r="9" spans="1:12">
      <c r="A9" s="4" t="s">
        <v>304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286286.4926614796</v>
      </c>
    </row>
    <row r="10" spans="1:12">
      <c r="A10" s="4" t="s">
        <v>305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>
      <c r="A11" s="4" t="s">
        <v>306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35000</v>
      </c>
    </row>
    <row r="12" spans="1:12">
      <c r="A12" s="4" t="s">
        <v>307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-417077.5668818789</v>
      </c>
    </row>
    <row r="13" spans="1:12">
      <c r="A13" s="7" t="s">
        <v>308</v>
      </c>
      <c r="B13" s="7">
        <f>SUM(B5:B12)</f>
        <v>300000.0</v>
      </c>
      <c r="C13" s="7">
        <f>SUM(C5:C12)</f>
        <v>52003.55</v>
      </c>
      <c r="D13" s="7">
        <f>SUM(D5:D12)</f>
        <v>-142164.62</v>
      </c>
      <c r="E13" s="7">
        <f>SUM(E5:E12)</f>
        <v>-25707.83</v>
      </c>
      <c r="F13" s="7">
        <f>SUM(F5:F12)</f>
        <v>24188.49</v>
      </c>
      <c r="G13" s="7">
        <f>SUM(G5:G12)</f>
        <v>120876.97</v>
      </c>
      <c r="H13" s="7">
        <f>SUM(H5:H12)</f>
        <v>317758.3</v>
      </c>
      <c r="I13" s="7">
        <f>SUM(I5:I12)</f>
        <v>457628.2</v>
      </c>
      <c r="J13" s="7">
        <f>SUM(J5:J12)</f>
        <v>408319.11</v>
      </c>
      <c r="K13" s="7">
        <f>SUM(K5:K12)</f>
        <v>854051.62</v>
      </c>
      <c r="L13" s="7">
        <f>SUM(L5:L12)</f>
        <v>772503.46</v>
      </c>
    </row>
  </sheetData>
  <mergeCells count="1">
    <mergeCell ref="A1:L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15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350</v>
      </c>
      <c r="B4" s="3" t="s">
        <v>351</v>
      </c>
      <c r="C4" s="3" t="s">
        <v>352</v>
      </c>
      <c r="D4" s="3" t="s">
        <v>333</v>
      </c>
      <c r="E4" s="3" t="s">
        <v>334</v>
      </c>
      <c r="F4" s="3" t="s">
        <v>353</v>
      </c>
    </row>
    <row r="5" spans="1:12">
      <c r="A5" s="4" t="s">
        <v>354</v>
      </c>
      <c r="B5" s="10">
        <v>0.85</v>
      </c>
      <c r="C5" s="8">
        <v>8572876.79000804</v>
      </c>
      <c r="D5" s="8">
        <v>-226444.9096880583</v>
      </c>
      <c r="E5" s="10">
        <v>0.1042171691420403</v>
      </c>
      <c r="F5" s="9">
        <v>0.245183634373139</v>
      </c>
    </row>
    <row r="6" spans="1:12">
      <c r="A6" s="4" t="s">
        <v>355</v>
      </c>
      <c r="B6" s="10">
        <v>0.9</v>
      </c>
      <c r="C6" s="8">
        <v>9077163.660008514</v>
      </c>
      <c r="D6" s="8">
        <v>-98520.630430231</v>
      </c>
      <c r="E6" s="10">
        <v>0.1505456774250072</v>
      </c>
      <c r="F6" s="9">
        <v>0.6715978985658967</v>
      </c>
    </row>
    <row r="7" spans="1:12">
      <c r="A7" s="4" t="s">
        <v>356</v>
      </c>
      <c r="B7" s="10">
        <v>1</v>
      </c>
      <c r="C7" s="8">
        <v>10085737.40000946</v>
      </c>
      <c r="D7" s="8">
        <v>148934.556604019</v>
      </c>
      <c r="E7" s="10">
        <v>0.2341010152729283</v>
      </c>
      <c r="F7" s="9">
        <v>1.496448522013397</v>
      </c>
    </row>
    <row r="8" spans="1:12">
      <c r="A8" s="4" t="s">
        <v>357</v>
      </c>
      <c r="B8" s="10">
        <v>1.1</v>
      </c>
      <c r="C8" s="8">
        <v>11094311.14001041</v>
      </c>
      <c r="D8" s="8">
        <v>388762.7040819959</v>
      </c>
      <c r="E8" s="10">
        <v>0.3096506187624538</v>
      </c>
      <c r="F8" s="9">
        <v>2.29587568027332</v>
      </c>
    </row>
    <row r="9" spans="1:12">
      <c r="A9" s="4" t="s">
        <v>358</v>
      </c>
      <c r="B9" s="10">
        <v>1.15</v>
      </c>
      <c r="C9" s="8">
        <v>11598598.01001088</v>
      </c>
      <c r="D9" s="8">
        <v>506215.0077411964</v>
      </c>
      <c r="E9" s="10">
        <v>0.3454037342364654</v>
      </c>
      <c r="F9" s="9">
        <v>2.687383359137321</v>
      </c>
    </row>
    <row r="12" spans="1:12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J12" s="3" t="s">
        <v>11</v>
      </c>
      <c r="K12" s="3" t="s">
        <v>12</v>
      </c>
    </row>
    <row r="13" spans="1:12">
      <c r="A13" s="4" t="s">
        <v>359</v>
      </c>
      <c r="B13" s="8">
        <v>412776</v>
      </c>
      <c r="C13" s="8">
        <v>172842.24</v>
      </c>
      <c r="D13" s="8">
        <v>421847.79</v>
      </c>
      <c r="E13" s="8">
        <v>510557.02</v>
      </c>
      <c r="F13" s="8">
        <v>683679.0699999999</v>
      </c>
      <c r="G13" s="8">
        <v>1041645.71</v>
      </c>
      <c r="H13" s="8">
        <v>1328770.66</v>
      </c>
      <c r="I13" s="8">
        <v>1406687.21</v>
      </c>
      <c r="J13" s="8">
        <v>1976823.87</v>
      </c>
      <c r="K13" s="8">
        <v>2130107.83</v>
      </c>
    </row>
    <row r="14" spans="1:12">
      <c r="A14" s="4" t="s">
        <v>360</v>
      </c>
      <c r="B14" s="8">
        <v>371498.4</v>
      </c>
      <c r="C14" s="8">
        <v>155558.02</v>
      </c>
      <c r="D14" s="8">
        <v>379663.01</v>
      </c>
      <c r="E14" s="8">
        <v>459501.32</v>
      </c>
      <c r="F14" s="8">
        <v>615311.16</v>
      </c>
      <c r="G14" s="8">
        <v>937481.14</v>
      </c>
      <c r="H14" s="8">
        <v>1195893.59</v>
      </c>
      <c r="I14" s="8">
        <v>1266018.49</v>
      </c>
      <c r="J14" s="8">
        <v>1779141.48</v>
      </c>
      <c r="K14" s="8">
        <v>1917097.05</v>
      </c>
    </row>
    <row r="15" spans="1:12">
      <c r="A15" s="4" t="s">
        <v>346</v>
      </c>
      <c r="B15" s="8">
        <v>-41277.6</v>
      </c>
      <c r="C15" s="8">
        <v>-17284.22</v>
      </c>
      <c r="D15" s="8">
        <v>-42184.78</v>
      </c>
      <c r="E15" s="8">
        <v>-51055.7</v>
      </c>
      <c r="F15" s="8">
        <v>-68367.91</v>
      </c>
      <c r="G15" s="8">
        <v>-104164.57</v>
      </c>
      <c r="H15" s="8">
        <v>-132877.07</v>
      </c>
      <c r="I15" s="8">
        <v>-140668.72</v>
      </c>
      <c r="J15" s="8">
        <v>-197682.39</v>
      </c>
      <c r="K15" s="8">
        <v>-213010.78</v>
      </c>
    </row>
  </sheetData>
  <mergeCells count="1">
    <mergeCell ref="A1:L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30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</v>
      </c>
      <c r="B4" s="3" t="s">
        <v>219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>
      <c r="A5" s="2" t="s">
        <v>220</v>
      </c>
    </row>
    <row r="6" spans="1:12">
      <c r="A6" s="4" t="s">
        <v>182</v>
      </c>
      <c r="B6" s="8">
        <v>120000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</row>
    <row r="7" spans="1:12">
      <c r="A7" s="4" t="s">
        <v>184</v>
      </c>
      <c r="B7" s="8">
        <v>180000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</row>
    <row r="8" spans="1:12">
      <c r="A8" s="4" t="s">
        <v>221</v>
      </c>
      <c r="B8" s="8">
        <v>0</v>
      </c>
      <c r="C8" s="8">
        <f>'INGRESOS'!B23</f>
        <v>148599.36</v>
      </c>
      <c r="D8" s="8">
        <f>'INGRESOS'!C23</f>
        <v>62223.21</v>
      </c>
      <c r="E8" s="8">
        <f>'INGRESOS'!D23</f>
        <v>151865.2</v>
      </c>
      <c r="F8" s="8">
        <f>'INGRESOS'!E23</f>
        <v>183800.53</v>
      </c>
      <c r="G8" s="8">
        <f>'INGRESOS'!F23</f>
        <v>246124.47</v>
      </c>
      <c r="H8" s="8">
        <f>'INGRESOS'!G23</f>
        <v>374992.45</v>
      </c>
      <c r="I8" s="8">
        <f>'INGRESOS'!H23</f>
        <v>478357.44</v>
      </c>
      <c r="J8" s="8">
        <f>'INGRESOS'!I23</f>
        <v>506407.4</v>
      </c>
      <c r="K8" s="8">
        <f>'INGRESOS'!J23</f>
        <v>711656.59</v>
      </c>
      <c r="L8" s="8">
        <f>'INGRESOS'!K23</f>
        <v>766838.82</v>
      </c>
    </row>
    <row r="9" spans="1:12">
      <c r="A9" s="4" t="s">
        <v>222</v>
      </c>
      <c r="B9" s="8">
        <v>0</v>
      </c>
      <c r="C9" s="8">
        <f>'INGRESOS'!B25</f>
        <v>178319.23</v>
      </c>
      <c r="D9" s="8">
        <f>'INGRESOS'!C25</f>
        <v>74667.85</v>
      </c>
      <c r="E9" s="8">
        <f>'INGRESOS'!D25</f>
        <v>182238.24</v>
      </c>
      <c r="F9" s="8">
        <f>'INGRESOS'!E25</f>
        <v>220560.63</v>
      </c>
      <c r="G9" s="8">
        <f>'INGRESOS'!F25</f>
        <v>295349.36</v>
      </c>
      <c r="H9" s="8">
        <f>'INGRESOS'!G25</f>
        <v>449990.95</v>
      </c>
      <c r="I9" s="8">
        <f>'INGRESOS'!H25</f>
        <v>574028.92</v>
      </c>
      <c r="J9" s="8">
        <f>'INGRESOS'!I25</f>
        <v>607688.88</v>
      </c>
      <c r="K9" s="8">
        <f>'INGRESOS'!J25</f>
        <v>853987.91</v>
      </c>
      <c r="L9" s="8">
        <f>'INGRESOS'!K25</f>
        <v>920206.58</v>
      </c>
    </row>
    <row r="10" spans="1:12">
      <c r="A10" s="4" t="s">
        <v>223</v>
      </c>
      <c r="B10" s="8">
        <v>0</v>
      </c>
      <c r="C10" s="8">
        <f>'INGRESOS'!B26</f>
        <v>0.0</v>
      </c>
      <c r="D10" s="8">
        <f>'INGRESOS'!C26</f>
        <v>44579.81</v>
      </c>
      <c r="E10" s="8">
        <f>'INGRESOS'!D26</f>
        <v>18666.96</v>
      </c>
      <c r="F10" s="8">
        <f>'INGRESOS'!E26</f>
        <v>45559.56</v>
      </c>
      <c r="G10" s="8">
        <f>'INGRESOS'!F26</f>
        <v>55140.16</v>
      </c>
      <c r="H10" s="8">
        <f>'INGRESOS'!G26</f>
        <v>73837.34</v>
      </c>
      <c r="I10" s="8">
        <f>'INGRESOS'!H26</f>
        <v>112497.74</v>
      </c>
      <c r="J10" s="8">
        <f>'INGRESOS'!I26</f>
        <v>143507.23</v>
      </c>
      <c r="K10" s="8">
        <f>'INGRESOS'!J26</f>
        <v>151922.22</v>
      </c>
      <c r="L10" s="8">
        <f>'INGRESOS'!K26</f>
        <v>213496.98</v>
      </c>
    </row>
    <row r="11" spans="1:12">
      <c r="A11" s="7" t="s">
        <v>224</v>
      </c>
      <c r="B11" s="7">
        <f>SUM(B6:B10)</f>
        <v>300000.0</v>
      </c>
      <c r="C11" s="7">
        <f>SUM(C6:C10)</f>
        <v>326918.59</v>
      </c>
      <c r="D11" s="7">
        <f>SUM(D6:D10)</f>
        <v>181470.86</v>
      </c>
      <c r="E11" s="7">
        <f>SUM(E6:E10)</f>
        <v>352770.41</v>
      </c>
      <c r="F11" s="7">
        <f>SUM(F6:F10)</f>
        <v>449920.72</v>
      </c>
      <c r="G11" s="7">
        <f>SUM(G6:G10)</f>
        <v>596613.98</v>
      </c>
      <c r="H11" s="7">
        <f>SUM(H6:H10)</f>
        <v>898820.74</v>
      </c>
      <c r="I11" s="7">
        <f>SUM(I6:I10)</f>
        <v>1164884.1</v>
      </c>
      <c r="J11" s="7">
        <f>SUM(J6:J10)</f>
        <v>1257603.5</v>
      </c>
      <c r="K11" s="7">
        <f>SUM(K6:K10)</f>
        <v>1717566.72</v>
      </c>
      <c r="L11" s="7">
        <f>SUM(L6:L10)</f>
        <v>1900542.38</v>
      </c>
    </row>
    <row r="13" spans="1:12">
      <c r="A13" s="2" t="s">
        <v>225</v>
      </c>
    </row>
    <row r="14" spans="1:12">
      <c r="A14" s="4" t="s">
        <v>226</v>
      </c>
      <c r="B14" s="8">
        <v>118000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</row>
    <row r="15" spans="1:12">
      <c r="A15" s="4" t="s">
        <v>227</v>
      </c>
      <c r="B15" s="8">
        <v>132000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</row>
    <row r="16" spans="1:12">
      <c r="A16" s="4" t="s">
        <v>228</v>
      </c>
      <c r="B16" s="8">
        <v>0</v>
      </c>
      <c r="C16" s="8">
        <v>68068.89333333333</v>
      </c>
      <c r="D16" s="8">
        <v>103034.8090666667</v>
      </c>
      <c r="E16" s="8">
        <v>128651.6414293334</v>
      </c>
      <c r="F16" s="8">
        <v>133797.7070865067</v>
      </c>
      <c r="G16" s="8">
        <v>139149.615369967</v>
      </c>
      <c r="H16" s="8">
        <v>168002.3266514323</v>
      </c>
      <c r="I16" s="8">
        <v>174722.4197174896</v>
      </c>
      <c r="J16" s="8">
        <v>208580.6165061892</v>
      </c>
      <c r="K16" s="8">
        <v>216923.8411664368</v>
      </c>
      <c r="L16" s="8">
        <v>225600.7948130943</v>
      </c>
    </row>
    <row r="17" spans="1:12">
      <c r="A17" s="4" t="s">
        <v>229</v>
      </c>
      <c r="B17" s="8">
        <v>0</v>
      </c>
      <c r="C17" s="8">
        <v>28300</v>
      </c>
      <c r="D17" s="8">
        <v>38432</v>
      </c>
      <c r="E17" s="8">
        <v>39969.28</v>
      </c>
      <c r="F17" s="8">
        <v>41568.0512</v>
      </c>
      <c r="G17" s="8">
        <v>43230.77324800001</v>
      </c>
      <c r="H17" s="8">
        <v>44960.00417792</v>
      </c>
      <c r="I17" s="8">
        <v>46758.4043450368</v>
      </c>
      <c r="J17" s="8">
        <v>48628.74051883828</v>
      </c>
      <c r="K17" s="8">
        <v>50573.89013959181</v>
      </c>
      <c r="L17" s="8">
        <v>52596.84574517549</v>
      </c>
    </row>
    <row r="18" spans="1:12">
      <c r="A18" s="4" t="s">
        <v>230</v>
      </c>
      <c r="B18" s="8">
        <v>0</v>
      </c>
      <c r="C18" s="8">
        <v>91638.33399999999</v>
      </c>
      <c r="D18" s="8">
        <v>50458.26416</v>
      </c>
      <c r="E18" s="8">
        <v>98938.98875919997</v>
      </c>
      <c r="F18" s="8">
        <v>126751.668962576</v>
      </c>
      <c r="G18" s="8">
        <v>168568.5775785106</v>
      </c>
      <c r="H18" s="8">
        <v>257756.1794707577</v>
      </c>
      <c r="I18" s="8">
        <v>334266.4924567166</v>
      </c>
      <c r="J18" s="8">
        <v>361547.7965075597</v>
      </c>
      <c r="K18" s="8">
        <v>496470.0952226785</v>
      </c>
      <c r="L18" s="8">
        <v>549760.9526217119</v>
      </c>
    </row>
    <row r="19" spans="1:12">
      <c r="A19" s="4" t="s">
        <v>210</v>
      </c>
      <c r="B19" s="8">
        <v>0</v>
      </c>
      <c r="C19" s="8">
        <v>64364.74</v>
      </c>
      <c r="D19" s="8">
        <v>66939.3296</v>
      </c>
      <c r="E19" s="8">
        <v>69616.90278400001</v>
      </c>
      <c r="F19" s="8">
        <v>72401.57889536</v>
      </c>
      <c r="G19" s="8">
        <v>96793.08205117442</v>
      </c>
      <c r="H19" s="8">
        <v>100664.8053332214</v>
      </c>
      <c r="I19" s="8">
        <v>104691.3975465503</v>
      </c>
      <c r="J19" s="8">
        <v>108879.0534484122</v>
      </c>
      <c r="K19" s="8">
        <v>113234.2155863487</v>
      </c>
      <c r="L19" s="8">
        <v>117763.5842098027</v>
      </c>
    </row>
    <row r="20" spans="1:12">
      <c r="A20" s="4" t="s">
        <v>209</v>
      </c>
      <c r="B20" s="8">
        <v>0</v>
      </c>
      <c r="C20" s="8">
        <v>55739.33333333333</v>
      </c>
      <c r="D20" s="8">
        <v>52198.89866666667</v>
      </c>
      <c r="E20" s="8">
        <v>59733.92144533334</v>
      </c>
      <c r="F20" s="8">
        <v>90608.87303266667</v>
      </c>
      <c r="G20" s="8">
        <v>97668.97275682975</v>
      </c>
      <c r="H20" s="8">
        <v>109014.6698210187</v>
      </c>
      <c r="I20" s="8">
        <v>118898.0868717808</v>
      </c>
      <c r="J20" s="8">
        <v>147497.9658572523</v>
      </c>
      <c r="K20" s="8">
        <v>164959.9407580495</v>
      </c>
      <c r="L20" s="8">
        <v>173228.0861175914</v>
      </c>
    </row>
    <row r="21" spans="1:12">
      <c r="A21" s="4" t="s">
        <v>231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522.0248130055778</v>
      </c>
      <c r="I21" s="8">
        <v>66439.73194039516</v>
      </c>
      <c r="J21" s="8">
        <v>115770.2401251817</v>
      </c>
      <c r="K21" s="8">
        <v>111790.1894559414</v>
      </c>
      <c r="L21" s="8">
        <v>212287.4848978134</v>
      </c>
    </row>
    <row r="22" spans="1:12">
      <c r="A22" s="4" t="s">
        <v>232</v>
      </c>
      <c r="B22" s="8">
        <v>0</v>
      </c>
      <c r="C22" s="8">
        <v>32400</v>
      </c>
      <c r="D22" s="8">
        <v>32400</v>
      </c>
      <c r="E22" s="8">
        <v>32400</v>
      </c>
      <c r="F22" s="8">
        <v>28968.51181256968</v>
      </c>
      <c r="G22" s="8">
        <v>24919.35575140189</v>
      </c>
      <c r="H22" s="8">
        <v>20141.35159922391</v>
      </c>
      <c r="I22" s="8">
        <v>14503.30669965389</v>
      </c>
      <c r="J22" s="8">
        <v>7850.41371816127</v>
      </c>
      <c r="K22" s="8">
        <v>0</v>
      </c>
      <c r="L22" s="8">
        <v>0</v>
      </c>
    </row>
    <row r="23" spans="1:12">
      <c r="A23" s="4" t="s">
        <v>149</v>
      </c>
      <c r="B23" s="8">
        <v>0</v>
      </c>
      <c r="C23" s="8">
        <v>0</v>
      </c>
      <c r="D23" s="8">
        <v>0</v>
      </c>
      <c r="E23" s="8">
        <v>19063.82326350179</v>
      </c>
      <c r="F23" s="8">
        <v>22495.31145093212</v>
      </c>
      <c r="G23" s="8">
        <v>26544.4675120999</v>
      </c>
      <c r="H23" s="8">
        <v>31322.47166427788</v>
      </c>
      <c r="I23" s="8">
        <v>36960.5165638479</v>
      </c>
      <c r="J23" s="8">
        <v>43613.40954534039</v>
      </c>
      <c r="K23" s="8">
        <v>0</v>
      </c>
      <c r="L23" s="8">
        <v>0</v>
      </c>
    </row>
    <row r="24" spans="1:12">
      <c r="A24" s="7" t="s">
        <v>233</v>
      </c>
      <c r="B24" s="7">
        <f>SUM(B14:B23)</f>
        <v>250000.0</v>
      </c>
      <c r="C24" s="7">
        <f>SUM(C14:C23)</f>
        <v>340511.3</v>
      </c>
      <c r="D24" s="7">
        <f>SUM(D14:D23)</f>
        <v>343463.3</v>
      </c>
      <c r="E24" s="7">
        <f>SUM(E14:E23)</f>
        <v>448374.56</v>
      </c>
      <c r="F24" s="7">
        <f>SUM(F14:F23)</f>
        <v>516591.7</v>
      </c>
      <c r="G24" s="7">
        <f>SUM(G14:G23)</f>
        <v>596874.84</v>
      </c>
      <c r="H24" s="7">
        <f>SUM(H14:H23)</f>
        <v>732383.83</v>
      </c>
      <c r="I24" s="7">
        <f>SUM(I14:I23)</f>
        <v>897240.36</v>
      </c>
      <c r="J24" s="7">
        <f>SUM(J14:J23)</f>
        <v>1042368.24</v>
      </c>
      <c r="K24" s="7">
        <f>SUM(K14:K23)</f>
        <v>1153952.17</v>
      </c>
      <c r="L24" s="7">
        <f>SUM(L14:L23)</f>
        <v>1331237.75</v>
      </c>
    </row>
    <row r="26" spans="1:12">
      <c r="A26" s="4" t="s">
        <v>234</v>
      </c>
      <c r="B26" s="8">
        <f>B11-B24</f>
        <v>50000.0</v>
      </c>
      <c r="C26" s="8">
        <f>C11-C24</f>
        <v>-13592.71</v>
      </c>
      <c r="D26" s="8">
        <f>D11-D24</f>
        <v>-161992.44</v>
      </c>
      <c r="E26" s="8">
        <f>E11-E24</f>
        <v>-95604.15</v>
      </c>
      <c r="F26" s="8">
        <f>F11-F24</f>
        <v>-66670.98</v>
      </c>
      <c r="G26" s="8">
        <f>G11-G24</f>
        <v>-260.86</v>
      </c>
      <c r="H26" s="8">
        <f>H11-H24</f>
        <v>166436.91</v>
      </c>
      <c r="I26" s="8">
        <f>I11-I24</f>
        <v>267643.74</v>
      </c>
      <c r="J26" s="8">
        <f>J11-J24</f>
        <v>215235.27</v>
      </c>
      <c r="K26" s="8">
        <f>K11-K24</f>
        <v>563614.55</v>
      </c>
      <c r="L26" s="8">
        <f>L11-L24</f>
        <v>569304.63</v>
      </c>
    </row>
    <row r="27" spans="1:12">
      <c r="A27" s="4" t="s">
        <v>235</v>
      </c>
      <c r="B27" s="8">
        <f>0</f>
        <v>0.0</v>
      </c>
      <c r="C27" s="8">
        <f>B28</f>
        <v>50000.0</v>
      </c>
      <c r="D27" s="8">
        <f>C28</f>
        <v>36407.29</v>
      </c>
      <c r="E27" s="8">
        <f>D28</f>
        <v>-125585.15</v>
      </c>
      <c r="F27" s="8">
        <f>E28</f>
        <v>-221189.3</v>
      </c>
      <c r="G27" s="8">
        <f>F28</f>
        <v>-287860.28</v>
      </c>
      <c r="H27" s="8">
        <f>G28</f>
        <v>-288121.14</v>
      </c>
      <c r="I27" s="8">
        <f>H28</f>
        <v>-121684.23</v>
      </c>
      <c r="J27" s="8">
        <f>I28</f>
        <v>145959.51</v>
      </c>
      <c r="K27" s="8">
        <f>J28</f>
        <v>361194.78</v>
      </c>
      <c r="L27" s="8">
        <f>K28</f>
        <v>924809.33</v>
      </c>
    </row>
    <row r="28" spans="1:12">
      <c r="A28" s="7" t="s">
        <v>236</v>
      </c>
      <c r="B28" s="7">
        <f>B27+B26</f>
        <v>50000.0</v>
      </c>
      <c r="C28" s="7">
        <f>C27+C26</f>
        <v>36407.29</v>
      </c>
      <c r="D28" s="7">
        <f>D27+D26</f>
        <v>-125585.15</v>
      </c>
      <c r="E28" s="7">
        <f>E27+E26</f>
        <v>-221189.3</v>
      </c>
      <c r="F28" s="7">
        <f>F27+F26</f>
        <v>-287860.28</v>
      </c>
      <c r="G28" s="7">
        <f>G27+G26</f>
        <v>-288121.14</v>
      </c>
      <c r="H28" s="7">
        <f>H27+H26</f>
        <v>-121684.23</v>
      </c>
      <c r="I28" s="7">
        <f>I27+I26</f>
        <v>145959.51</v>
      </c>
      <c r="J28" s="7">
        <f>J27+J26</f>
        <v>361194.78</v>
      </c>
      <c r="K28" s="7">
        <f>K27+K26</f>
        <v>924809.33</v>
      </c>
      <c r="L28" s="7">
        <f>L27+L26</f>
        <v>1494113.96</v>
      </c>
    </row>
    <row r="30" spans="1:12">
      <c r="A30" s="12" t="s">
        <v>237</v>
      </c>
    </row>
  </sheetData>
  <mergeCells count="1">
    <mergeCell ref="A1:L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1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12" width="13.7109375" customWidth="1"/>
  </cols>
  <sheetData>
    <row r="1" spans="1:12">
      <c r="A1" s="1" t="s">
        <v>361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spans="1:12">
      <c r="A4" s="3" t="s">
        <v>299</v>
      </c>
      <c r="B4" s="3" t="s">
        <v>300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>
      <c r="A5" s="4" t="s">
        <v>301</v>
      </c>
      <c r="B5" s="8">
        <v>300000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</row>
    <row r="6" spans="1:12">
      <c r="A6" s="4" t="s">
        <v>302</v>
      </c>
      <c r="B6" s="8">
        <v>0</v>
      </c>
      <c r="C6" s="8">
        <v>326918.5920000001</v>
      </c>
      <c r="D6" s="8">
        <v>181470.86208</v>
      </c>
      <c r="E6" s="8">
        <v>352770.4106496</v>
      </c>
      <c r="F6" s="8">
        <v>449920.7223482879</v>
      </c>
      <c r="G6" s="8">
        <v>596613.9830044609</v>
      </c>
      <c r="H6" s="8">
        <v>898820.7403961848</v>
      </c>
      <c r="I6" s="8">
        <v>1164884.09822966</v>
      </c>
      <c r="J6" s="8">
        <v>1257603.50270333</v>
      </c>
      <c r="K6" s="8">
        <v>1717566.721843395</v>
      </c>
      <c r="L6" s="8">
        <v>1900542.380864905</v>
      </c>
    </row>
    <row r="7" spans="1:12">
      <c r="A7" s="4" t="s">
        <v>303</v>
      </c>
      <c r="B7" s="8">
        <v>0</v>
      </c>
      <c r="C7" s="8">
        <v>340511.3006666666</v>
      </c>
      <c r="D7" s="8">
        <v>343463.3014933333</v>
      </c>
      <c r="E7" s="8">
        <v>448374.5576813685</v>
      </c>
      <c r="F7" s="8">
        <v>516591.7024406111</v>
      </c>
      <c r="G7" s="8">
        <v>596874.8442679835</v>
      </c>
      <c r="H7" s="8">
        <v>732383.8335308573</v>
      </c>
      <c r="I7" s="8">
        <v>897240.356141471</v>
      </c>
      <c r="J7" s="8">
        <v>1042368.236226935</v>
      </c>
      <c r="K7" s="8">
        <v>1153952.172329047</v>
      </c>
      <c r="L7" s="8">
        <v>1331237.748405189</v>
      </c>
    </row>
    <row r="8" spans="1:12">
      <c r="A8" s="4" t="s">
        <v>234</v>
      </c>
      <c r="B8" s="8">
        <f>B6-B7</f>
        <v>0.0</v>
      </c>
      <c r="C8" s="8">
        <f>C6-C7</f>
        <v>-13592.71</v>
      </c>
      <c r="D8" s="8">
        <f>D6-D7</f>
        <v>-161992.44</v>
      </c>
      <c r="E8" s="8">
        <f>E6-E7</f>
        <v>-95604.15</v>
      </c>
      <c r="F8" s="8">
        <f>F6-F7</f>
        <v>-66670.98</v>
      </c>
      <c r="G8" s="8">
        <f>G6-G7</f>
        <v>-260.86</v>
      </c>
      <c r="H8" s="8">
        <f>H6-H7</f>
        <v>166436.91</v>
      </c>
      <c r="I8" s="8">
        <f>I6-I7</f>
        <v>267643.74</v>
      </c>
      <c r="J8" s="8">
        <f>J6-J7</f>
        <v>215235.27</v>
      </c>
      <c r="K8" s="8">
        <f>K6-K7</f>
        <v>563614.55</v>
      </c>
      <c r="L8" s="8">
        <f>L6-L7</f>
        <v>569304.63</v>
      </c>
    </row>
    <row r="9" spans="1:12">
      <c r="A9" s="4" t="s">
        <v>304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230051.6458886889</v>
      </c>
    </row>
    <row r="10" spans="1:12">
      <c r="A10" s="4" t="s">
        <v>305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</row>
    <row r="11" spans="1:12">
      <c r="A11" s="4" t="s">
        <v>306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35000</v>
      </c>
    </row>
    <row r="12" spans="1:12">
      <c r="A12" s="4" t="s">
        <v>307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-291806.1821560513</v>
      </c>
    </row>
    <row r="13" spans="1:12">
      <c r="A13" s="7" t="s">
        <v>308</v>
      </c>
      <c r="B13" s="7">
        <f>SUM(B5:B12)</f>
        <v>300000.0</v>
      </c>
      <c r="C13" s="7">
        <f>SUM(C5:C12)</f>
        <v>-13592.71</v>
      </c>
      <c r="D13" s="7">
        <f>SUM(D5:D12)</f>
        <v>-161992.44</v>
      </c>
      <c r="E13" s="7">
        <f>SUM(E5:E12)</f>
        <v>-95604.15</v>
      </c>
      <c r="F13" s="7">
        <f>SUM(F5:F12)</f>
        <v>-66670.98</v>
      </c>
      <c r="G13" s="7">
        <f>SUM(G5:G12)</f>
        <v>-260.86</v>
      </c>
      <c r="H13" s="7">
        <f>SUM(H5:H12)</f>
        <v>166436.91</v>
      </c>
      <c r="I13" s="7">
        <f>SUM(I5:I12)</f>
        <v>267643.74</v>
      </c>
      <c r="J13" s="7">
        <f>SUM(J5:J12)</f>
        <v>215235.27</v>
      </c>
      <c r="K13" s="7">
        <f>SUM(K5:K12)</f>
        <v>563614.55</v>
      </c>
      <c r="L13" s="7">
        <f>SUM(L5:L12)</f>
        <v>542550.1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INGRESOS</vt:lpstr>
      <vt:lpstr>COSTOS</vt:lpstr>
      <vt:lpstr>COSTO DE PRODUCCION UNITARIO</vt:lpstr>
      <vt:lpstr>PLANILLA</vt:lpstr>
      <vt:lpstr>GASTOS_ADM_VTAS_FINANZAS</vt:lpstr>
      <vt:lpstr>DEPRECIACIONES AMORTIZACION</vt:lpstr>
      <vt:lpstr>PLAN DE INVERSION</vt:lpstr>
      <vt:lpstr>BALANCE DE APERTURA</vt:lpstr>
      <vt:lpstr>COSTO DE VENTA</vt:lpstr>
      <vt:lpstr>ESTADO DE RESULTADOS</vt:lpstr>
      <vt:lpstr>PRESUPUESTO CAJA</vt:lpstr>
      <vt:lpstr>BALANCE GENERAL PROYECTADO</vt:lpstr>
      <vt:lpstr>RAZONES FINANCIERAS</vt:lpstr>
      <vt:lpstr>COMENTARIOS DE LAS RAZONES</vt:lpstr>
      <vt:lpstr>PUNTO DE EQUILIBRIO</vt:lpstr>
      <vt:lpstr>FLUJO DE EFECTIVO</vt:lpstr>
      <vt:lpstr>COSTO CAPITAL VAN TIR IR</vt:lpstr>
      <vt:lpstr>Sensibilidad Ingresos Bajos</vt:lpstr>
      <vt:lpstr>Sensibilidad Incremento Gastos</vt:lpstr>
      <vt:lpstr>Sensibilidad Incremento Interes</vt:lpstr>
      <vt:lpstr>Riesgo no recuperacion CxC</vt:lpstr>
      <vt:lpstr>Riesgo Administrativo</vt:lpstr>
      <vt:lpstr>Flujo Optimista</vt:lpstr>
      <vt:lpstr>Analisis Precio</vt:lpstr>
      <vt:lpstr>Presupuesto Caja Bajando Precio</vt:lpstr>
      <vt:lpstr>Flujo Efectivo Bajando Precio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2026-06-17T23:28:47Z</dcterms:created>
  <dcterms:modified xsi:type="dcterms:W3CDTF">2026-06-17T23:28:47Z</dcterms:modified>
</cp:coreProperties>
</file>